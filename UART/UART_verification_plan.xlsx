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plan" sheetId="1" state="visible" r:id="rId3"/>
    <sheet name="Summary" sheetId="2" state="visible" r:id="rId4"/>
    <sheet name="Components" sheetId="3" state="visible" r:id="rId5"/>
    <sheet name="Param_Calc" sheetId="4" state="visible" r:id="rId6"/>
    <sheet name="Legend" sheetId="5" state="visible" r:id="rId7"/>
  </sheets>
  <definedNames>
    <definedName function="false" hidden="false" localSheetId="0" name="_xlnm.Print_Titles" vbProcedure="false">Testplan!$1:$1</definedName>
    <definedName function="false" hidden="true" localSheetId="0" name="_xlnm._FilterDatabase" vbProcedure="false">Testplan!$A$1:$H$45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<sst xmlns="http://schemas.openxmlformats.org/spreadsheetml/2006/main" count="502" uniqueCount="383">
  <si>
    <t xml:space="preserve">ID</t>
  </si>
  <si>
    <t xml:space="preserve">Feature</t>
  </si>
  <si>
    <t xml:space="preserve">Stimulus</t>
  </si>
  <si>
    <t xml:space="preserve">Checker</t>
  </si>
  <si>
    <t xml:space="preserve">Coverage item</t>
  </si>
  <si>
    <t xml:space="preserve">Priority</t>
  </si>
  <si>
    <t xml:space="preserve">Status</t>
  </si>
  <si>
    <t xml:space="preserve">Notes</t>
  </si>
  <si>
    <t xml:space="preserve">RST001</t>
  </si>
  <si>
    <t xml:space="preserve">After reset: tx=1, busy=0, rdy=0, data_out=0, TX and RX FSMs in IDLE. Must hold for a reset applied after traffic, not only at time 0.</t>
  </si>
  <si>
    <t xml:space="preserve">Hold rst &gt;= 5 clks at sim start; re-apply rst after &gt;= 1 completed frame.</t>
  </si>
  <si>
    <t xml:space="preserve">a_rst_values</t>
  </si>
  <si>
    <t xml:space="preserve">c_rst_after_traffic</t>
  </si>
  <si>
    <t xml:space="preserve">P1</t>
  </si>
  <si>
    <t xml:space="preserve">Not started</t>
  </si>
  <si>
    <t xml:space="preserve">Sync reset, so the property uses |=&gt; (new values visible next cycle). No 'disable iff (rst)' on this property. tx is the internal tx_rx wire: bind into UART or expose the pin.</t>
  </si>
  <si>
    <t xml:space="preserve">RST002</t>
  </si>
  <si>
    <t xml:space="preserve">Reset during a TX frame aborts it: tx returns to 1, busy to 0, and the next frame sent after reset is correct.</t>
  </si>
  <si>
    <t xml:space="preserve">wr_en, then rst at a random point inside START, DATA or STOP; then send a fresh byte.</t>
  </si>
  <si>
    <t xml:space="preserve">a_rst_values; mon_tx (frame cut by rst is flagged 'aborted', not decoded); scb_tx drops the aborted byte</t>
  </si>
  <si>
    <t xml:space="preserve">c_rst_mid_tx; cp_tx_state_at_rst (bins START, DATA, STOP)</t>
  </si>
  <si>
    <t xml:space="preserve">mon_tx must treat a frame cut by rst as aborted, not as a protocol error.</t>
  </si>
  <si>
    <t xml:space="preserve">RST003</t>
  </si>
  <si>
    <t xml:space="preserve">Reset during an RX frame: no rdy for the interrupted byte; the next complete frame is received correctly.</t>
  </si>
  <si>
    <t xml:space="preserve">drv_rx sends a frame; assert rst at a random point in START, DATA_OUT or STOP; idle the line for one frame time; send a good frame.</t>
  </si>
  <si>
    <t xml:space="preserve">scb_rx: no rdy for the interrupted byte; next byte matches</t>
  </si>
  <si>
    <t xml:space="preserve">cp_rx_state_at_rst (bins START, DATA_OUT, STOP)</t>
  </si>
  <si>
    <t xml:space="preserve">P2</t>
  </si>
  <si>
    <t xml:space="preserve">Spec decision: after a mid-frame reset the line still carries the rest of the old frame, so a 0 data bit looks like a start bit and RX may emit one junk byte. Either idle the line for a full frame before checking, or let scb_rx tolerate one junk byte. Needs drv_rx.</t>
  </si>
  <si>
    <t xml:space="preserve">RST004</t>
  </si>
  <si>
    <t xml:space="preserve">Reset released while the rx line is low: no valid byte is produced while the line stays low.</t>
  </si>
  <si>
    <t xml:space="preserve">Hold rx low, assert then release rst, keep rx low for &gt;= 3 frame times.</t>
  </si>
  <si>
    <t xml:space="preserve">scb_rx: rdy never rises during the low period</t>
  </si>
  <si>
    <t xml:space="preserve">c_rst_release_rx_low</t>
  </si>
  <si>
    <t xml:space="preserve">P3</t>
  </si>
  <si>
    <t xml:space="preserve">Needs drv_rx. Same checker as RXE004 (break), different reset timing.</t>
  </si>
  <si>
    <t xml:space="preserve">RST005</t>
  </si>
  <si>
    <t xml:space="preserve">No X/Z on tx, busy, rdy or data_out once reset has been applied.</t>
  </si>
  <si>
    <t xml:space="preserve">Any test; checking starts at the first reset release.</t>
  </si>
  <si>
    <t xml:space="preserve">a_no_x (ADD SVA: !$isunknown({tx,busy,rdy,data_out}))</t>
  </si>
  <si>
    <t xml:space="preserve">c_no_x (vacuity)</t>
  </si>
  <si>
    <t xml:space="preserve">Outputs may legitimately be X before the first reset, so do not check then.</t>
  </si>
  <si>
    <t xml:space="preserve">BRG001</t>
  </si>
  <si>
    <t xml:space="preserve">tx_tick is a one-cycle pulse exactly every clk_freq/baud_rate clocks (5208 at 50 MHz / 9600).</t>
  </si>
  <si>
    <t xml:space="preserve">Run &gt;= 20 ticks after reset with default parameters; repeat per config in PAR001.</t>
  </si>
  <si>
    <t xml:space="preserve">a_tx_tick_period</t>
  </si>
  <si>
    <t xml:space="preserve">c_tx_tick_pair (tx_tick ##CLKS_PER_BIT tx_tick) - ADD</t>
  </si>
  <si>
    <t xml:space="preserve">CLKS_PER_BIT must match the integer division in baud_rate_generator.sv.</t>
  </si>
  <si>
    <t xml:space="preserve">BRG002</t>
  </si>
  <si>
    <t xml:space="preserve">rx_tick is a one-cycle pulse every clk_freq/(16*baud_rate) clocks (325 at default), about 16 rx_ticks per bit.</t>
  </si>
  <si>
    <t xml:space="preserve">Run &gt;= 100 rx_ticks after reset; repeat per config in PAR001.</t>
  </si>
  <si>
    <t xml:space="preserve">a_rx_tick_period (ADD SVA)</t>
  </si>
  <si>
    <t xml:space="preserve">c_rx_tick_pair - ADD</t>
  </si>
  <si>
    <t xml:space="preserve">16 x 325 = 5200 clocks vs TX 5208: 0.15% mismatch at default. See Param_Calc for other configs.</t>
  </si>
  <si>
    <t xml:space="preserve">TXF001</t>
  </si>
  <si>
    <t xml:space="preserve">Frame format: idle high, 1 start bit (0), 8 data bits LSB first, 1 stop bit (1), no parity.</t>
  </si>
  <si>
    <t xml:space="preserve">Directed bytes 0x00, 0xFF, 0x55, 0xAA, 0x01, 0x80, 0xA5 plus random bytes, one at a time with idle gaps.</t>
  </si>
  <si>
    <t xml:space="preserve">mon_tx independently decodes the tx line; decoded byte == data_in (scb_tx)</t>
  </si>
  <si>
    <t xml:space="preserve">cg_tx_data.cp_data (0x00, 0xFF, 0x55, 0xAA, 0x01, 0x80, walking-1, walking-0, other)</t>
  </si>
  <si>
    <t xml:space="preserve">Do not use RX as the decoder: loopback hides bit-order bugs. 0x01 and 0x80 catch MSB/LSB order errors only with an independent monitor.</t>
  </si>
  <si>
    <t xml:space="preserve">TXF002</t>
  </si>
  <si>
    <t xml:space="preserve">Every bit (start, 8 data, stop) lasts exactly CLKS_PER_BIT clocks; the start bit begins on a tx_tick.</t>
  </si>
  <si>
    <t xml:space="preserve">Any frame; measure transitions in clocks.</t>
  </si>
  <si>
    <t xml:space="preserve">mon_tx bit-width check == CLKS_PER_BIT; a_tx_changes_on_tick</t>
  </si>
  <si>
    <t xml:space="preserve">c_tx_changed (vacuity)</t>
  </si>
  <si>
    <t xml:space="preserve">Measure against a bit-time grid anchored on the start-bit falling edge. A stop bit followed by idle can only be checked as &gt;= 1 bit period.</t>
  </si>
  <si>
    <t xml:space="preserve">TXF003</t>
  </si>
  <si>
    <t xml:space="preserve">tx idles high whenever busy=0, including after reset and between frames.</t>
  </si>
  <si>
    <t xml:space="preserve">Idle &gt;= 2 frame times; after each frame; after reset.</t>
  </si>
  <si>
    <t xml:space="preserve">a_tx_idle_high</t>
  </si>
  <si>
    <t xml:space="preserve">c_tx_idle_high (vacuity)</t>
  </si>
  <si>
    <t xml:space="preserve">TXF004</t>
  </si>
  <si>
    <t xml:space="preserve">Start bit begins on the next tx_tick after an accepted wr_en: latency 1 to CLKS_PER_BIT clocks (up to one bit period), including wr_en landing in the same cycle as a tx_tick.</t>
  </si>
  <si>
    <t xml:space="preserve">Issue wr_en at randomised phases relative to tx_tick, including the tick cycle and the cycles either side.</t>
  </si>
  <si>
    <t xml:space="preserve">a_start_latency (ADD SVA: (wr_en &amp;&amp; !busy) |-&gt; ##[1:CLKS_PER_BIT+1] !tx)</t>
  </si>
  <si>
    <t xml:space="preserve">cp_wr_phase (tick-1, tick, tick+1, early, mid, late in the tick period)</t>
  </si>
  <si>
    <t xml:space="preserve">IDLE ignores tx_tick, so wr_en in the tick cycle waits a full period - worth hitting on purpose. Bound has +1 slack; tighten after the first run.</t>
  </si>
  <si>
    <t xml:space="preserve">TXI001</t>
  </si>
  <si>
    <t xml:space="preserve">wr_en while busy is dropped silently: the current frame is unaffected and no second frame is queued.</t>
  </si>
  <si>
    <t xml:space="preserve">Pulse wr_en with a different data_in at random times in START, DATA and STOP.</t>
  </si>
  <si>
    <t xml:space="preserve">scb_tx (only the first byte appears); mon_tx</t>
  </si>
  <si>
    <t xml:space="preserve">c_wr_en_while_busy; cp_wr_en_state (START, DATA, STOP)</t>
  </si>
  <si>
    <t xml:space="preserve">No busy-write error flag exists - document as accepted behaviour.</t>
  </si>
  <si>
    <t xml:space="preserve">TXI002</t>
  </si>
  <si>
    <t xml:space="preserve">data_in is latched when wr_en is accepted; changing data_in afterwards does not alter the frame.</t>
  </si>
  <si>
    <t xml:space="preserve">Drive data_in = X with wr_en, change it to ~X on the next cycle and keep changing it during the frame.</t>
  </si>
  <si>
    <t xml:space="preserve">scb_tx / mon_tx: frame decodes to X</t>
  </si>
  <si>
    <t xml:space="preserve">cp_data_in_change_after_wr (hit)</t>
  </si>
  <si>
    <t xml:space="preserve">TXI003</t>
  </si>
  <si>
    <t xml:space="preserve">Back-to-back: wr_en on the first cycle busy is low starts the next frame after exactly one full stop-bit period; no data lost.</t>
  </si>
  <si>
    <t xml:space="preserve">After each busy fall, re-issue wr_en immediately; &gt;= 100 frames.</t>
  </si>
  <si>
    <t xml:space="preserve">mon_tx (stop-to-start gap == CLKS_PER_BIT); scb_tx</t>
  </si>
  <si>
    <t xml:space="preserve">c_wr_en_at_busy_fall (hit count &gt;= 100)</t>
  </si>
  <si>
    <t xml:space="preserve">busy falls when the stop bit begins. The stop bit is a full period only because START waits for the next tick; this test confirms that.</t>
  </si>
  <si>
    <t xml:space="preserve">TXI004</t>
  </si>
  <si>
    <t xml:space="preserve">wr_en held high continuously: TX sends frames back-to-back, re-latching data_in at each IDLE cycle.</t>
  </si>
  <si>
    <t xml:space="preserve">Hold wr_en high for &gt;= 5 frames; change data_in between frames.</t>
  </si>
  <si>
    <t xml:space="preserve">scb_tx; mon_tx (one stop-bit period between frames)</t>
  </si>
  <si>
    <t xml:space="preserve">cp_wr_en_held (&gt;= 3 consecutive frames)</t>
  </si>
  <si>
    <t xml:space="preserve">Spec decision: is continuous retrigger intended? Write the answer down either way.</t>
  </si>
  <si>
    <t xml:space="preserve">TXI005</t>
  </si>
  <si>
    <t xml:space="preserve">busy rises the cycle after an accepted wr_en and falls when the stop bit begins.</t>
  </si>
  <si>
    <t xml:space="preserve">Any frame.</t>
  </si>
  <si>
    <t xml:space="preserve">a_busy_after_wr_en; mon_tx (busy fall coincides with stop-bit start)</t>
  </si>
  <si>
    <t xml:space="preserve">c_busy_after_wr_en (vacuity)</t>
  </si>
  <si>
    <t xml:space="preserve">RXF001</t>
  </si>
  <si>
    <t xml:space="preserve">RX receives a correct 8N1 frame: data_out == transmitted byte, rdy rises once per frame.</t>
  </si>
  <si>
    <t xml:space="preserve">drv_rx sends directed and random bytes at nominal bit period (5208 clks) with idle gaps.</t>
  </si>
  <si>
    <t xml:space="preserve">scb_rx: data_out compared when rdy rises</t>
  </si>
  <si>
    <t xml:space="preserve">cg_rx_data.cp_data (same bins as cg_tx_data)</t>
  </si>
  <si>
    <t xml:space="preserve">Needs drv_rx and the exposed rx pin.</t>
  </si>
  <si>
    <t xml:space="preserve">RXF002</t>
  </si>
  <si>
    <t xml:space="preserve">RX samples at mid-bit: start bit checked 8 rx_ticks after detection, then one sample every 16 rx_ticks (data bits and stop bit).</t>
  </si>
  <si>
    <t xml:space="preserve">a_rx_sample_spacing (ADD SVA, bound into receiver_block using state/sample/index)</t>
  </si>
  <si>
    <t xml:space="preserve">cp_rx_index (0..7); cp_rx_sample_max (7 in START, 15 in DATA_OUT/STOP)</t>
  </si>
  <si>
    <t xml:space="preserve">Internal-signal assertion. The sample point is up to one rx_tick (1/16 bit) late because detection is tick-granular.</t>
  </si>
  <si>
    <t xml:space="preserve">RXF003</t>
  </si>
  <si>
    <t xml:space="preserve">Frame is received correctly for every alignment of the start edge relative to rx_tick.</t>
  </si>
  <si>
    <t xml:space="preserve">drv_rx delays the start edge by 0..324 clks (sweep plus random).</t>
  </si>
  <si>
    <t xml:space="preserve">scb_rx</t>
  </si>
  <si>
    <t xml:space="preserve">cp_rx_edge_phase (&gt;= 8 bins across 0..324)</t>
  </si>
  <si>
    <t xml:space="preserve">The practical sampling-correctness test. rx passes through a 2-FF synchronizer, so this also shows the 2-clock input latency has no effect.</t>
  </si>
  <si>
    <t xml:space="preserve">RXF004</t>
  </si>
  <si>
    <t xml:space="preserve">Back-to-back frames with zero idle gap: start bit immediately after the stop bit; all received.</t>
  </si>
  <si>
    <t xml:space="preserve">drv_rx sends &gt;= 100 frames with no gap, then with 1, 2 and 10-bit gaps.</t>
  </si>
  <si>
    <t xml:space="preserve">cp_idle_gap (0, 1 bit, 2 bits, long)</t>
  </si>
  <si>
    <t xml:space="preserve">RX leaves STOP at mid-stop-bit, which gives about half a bit of slack for the next start edge.</t>
  </si>
  <si>
    <t xml:space="preserve">RXF005</t>
  </si>
  <si>
    <t xml:space="preserve">Constant-line patterns: 0x00 (9 low bits incl. start), 0xFF (data looks like idle), alternating 0x55/0xAA - all received correctly.</t>
  </si>
  <si>
    <t xml:space="preserve">drv_rx sends each pattern singly and repeated back-to-back (e.g. 10x 0x00, 10x 0xFF).</t>
  </si>
  <si>
    <t xml:space="preserve">cg_rx_data.cp_data bins 0x00, 0xFF, 0x55, 0xAA; cp_repeat (same byte &gt;= 5x in a row)</t>
  </si>
  <si>
    <t xml:space="preserve">0x00 checks RX counts bit periods instead of waiting for edges; 0xFF after the start bit is indistinguishable from idle.</t>
  </si>
  <si>
    <t xml:space="preserve">RXF006</t>
  </si>
  <si>
    <t xml:space="preserve">Idle line (rx=1) for a long time: rdy never rises and RX stays in IDLE.</t>
  </si>
  <si>
    <t xml:space="preserve">Hold rx high &gt;= 3 frame times after reset and between frames.</t>
  </si>
  <si>
    <t xml:space="preserve">a_rdy_only_in_stop (ADD SVA: rdy rises only after RX state STOP)</t>
  </si>
  <si>
    <t xml:space="preserve">c_rx_idle_long (rx high &gt;= 3 frame times)</t>
  </si>
  <si>
    <t xml:space="preserve">RXI001</t>
  </si>
  <si>
    <t xml:space="preserve">rdy stays high until rdy_clr, and data_out is held stable meanwhile.</t>
  </si>
  <si>
    <t xml:space="preserve">Receive a byte; delay rdy_clr by 1 clk, half a frame, one frame.</t>
  </si>
  <si>
    <t xml:space="preserve">a_rdy_holds; a_data_out_with_rdy</t>
  </si>
  <si>
    <t xml:space="preserve">cp_rdy_hold_time (1 clk, &lt; 1 frame, &gt;= 1 frame)</t>
  </si>
  <si>
    <t xml:space="preserve">A hold of &gt;= 1 frame without a new byte needs an idle line afterwards.</t>
  </si>
  <si>
    <t xml:space="preserve">RXI002</t>
  </si>
  <si>
    <t xml:space="preserve">rdy_clr clears rdy on the next cycle (a single-cycle pulse is enough).</t>
  </si>
  <si>
    <t xml:space="preserve">1-cycle rdy_clr pulse while rdy=1 and no frame completing.</t>
  </si>
  <si>
    <t xml:space="preserve">a_rdy_clr_clears (ADD SVA: (rdy_clr &amp;&amp; rdy &amp;&amp; !completing) |=&gt; !rdy)</t>
  </si>
  <si>
    <t xml:space="preserve">c_rdy_clr_pulse - ADD</t>
  </si>
  <si>
    <t xml:space="preserve">'completing' = RX in STOP with sample==15 and rx_tick; take it from the receiver_block internals.</t>
  </si>
  <si>
    <t xml:space="preserve">RXI003</t>
  </si>
  <si>
    <t xml:space="preserve">rdy_clr and a new byte completing in the same cycle: rdy ends up 1 (set wins over clear).</t>
  </si>
  <si>
    <t xml:space="preserve">Directed: time rdy_clr to the cycle the RX STOP state completes (align using internal state/sample).</t>
  </si>
  <si>
    <t xml:space="preserve">scb_rx: rdy stays 1 and data_out == new byte</t>
  </si>
  <si>
    <t xml:space="preserve">c_rdy_clr_collision</t>
  </si>
  <si>
    <t xml:space="preserve">Matches the RTL: rdy&lt;=1 comes after rdy&lt;=0 in the same always_ff. The existing cover only hits the case where rdy was already 1.</t>
  </si>
  <si>
    <t xml:space="preserve">RXI004</t>
  </si>
  <si>
    <t xml:space="preserve">Overrun: a new frame completes while rdy is still 1. data_out is overwritten with the newest byte; no overrun flag.</t>
  </si>
  <si>
    <t xml:space="preserve">Receive 2+ frames without rdy_clr.</t>
  </si>
  <si>
    <t xml:space="preserve">scb_rx: data_out == newest byte (older byte lost)</t>
  </si>
  <si>
    <t xml:space="preserve">c_overrun</t>
  </si>
  <si>
    <t xml:space="preserve">Design limitation: no overrun flag. State it in the spec so it is not read as a miss.</t>
  </si>
  <si>
    <t xml:space="preserve">RXE001</t>
  </si>
  <si>
    <t xml:space="preserve">Framing error (stop bit = 0): frame dropped - no rdy, data_out unchanged.</t>
  </si>
  <si>
    <t xml:space="preserve">drv_rx sends frames with stop=0 and random data; then an idle-high gap of &gt;= 1 frame and a good frame.</t>
  </si>
  <si>
    <t xml:space="preserve">scb_rx (no rdy, data_out unchanged); a_rdy_only_in_stop</t>
  </si>
  <si>
    <t xml:space="preserve">cp_stop_val (0, 1); FSM002 arc STOP-&gt;IDLE with rx_s=0</t>
  </si>
  <si>
    <t xml:space="preserve">No error flag. RX returns to IDLE at mid-stop with the line still low, so it re-detects a false start; record what happens on the following frame. Needs drv_rx.</t>
  </si>
  <si>
    <t xml:space="preserve">RXE002</t>
  </si>
  <si>
    <t xml:space="preserve">Short glitch on an idle line (shorter than about half a bit) is rejected: START -&gt; IDLE at sample 7, no rdy.</t>
  </si>
  <si>
    <t xml:space="preserve">Pulse rx low for w clks, w in {1, 2, 10, 100, 325, 1000, 2000, 2500}; idle high otherwise.</t>
  </si>
  <si>
    <t xml:space="preserve">scb_rx (no byte)</t>
  </si>
  <si>
    <t xml:space="preserve">cp_glitch_width (&lt; 1 rx_tick, 1-4, 5-7, &gt;= 8 rx_ticks); FSM002 arc START-&gt;IDLE</t>
  </si>
  <si>
    <t xml:space="preserve">Glitches narrower than one rx_tick may be missed entirely depending on alignment; either outcome passes. Needs drv_rx.</t>
  </si>
  <si>
    <t xml:space="preserve">RXE003</t>
  </si>
  <si>
    <t xml:space="preserve">Characterise the glitch width at which a glitch is accepted as a start bit; expected result is a spurious 0xFF byte.</t>
  </si>
  <si>
    <t xml:space="preserve">Sweep glitch width from about 0.4 to 1.6 bit in 1/16-bit steps.</t>
  </si>
  <si>
    <t xml:space="preserve">scb_rx logs the threshold and the resulting byte (characterisation, not pass/fail)</t>
  </si>
  <si>
    <t xml:space="preserve">cp_glitch_width (extended bins up to 1.6 bit)</t>
  </si>
  <si>
    <t xml:space="preserve">A glitch still low at the mid-bit check looks like a real start; if it ends before the first data sample the byte is 0xFF with a valid stop. Record the threshold in the spec.</t>
  </si>
  <si>
    <t xml:space="preserve">RXE004</t>
  </si>
  <si>
    <t xml:space="preserve">Break (rx held low &gt;= 3 frame times): no rdy fires while the line is low.</t>
  </si>
  <si>
    <t xml:space="preserve">Hold rx low for 1, 2, 3+ frame times, then return high and send a good frame.</t>
  </si>
  <si>
    <t xml:space="preserve">scb_rx: no rdy during the break</t>
  </si>
  <si>
    <t xml:space="preserve">cp_break_len (1, 2, 3+ frames)</t>
  </si>
  <si>
    <t xml:space="preserve">RX keeps restarting during a break (each framing error leads to a new start). After release it can be mid pseudo-frame and emit one spurious byte - there is no break detection. Flush or tolerate one byte after release and document it.</t>
  </si>
  <si>
    <t xml:space="preserve">RXE005</t>
  </si>
  <si>
    <t xml:space="preserve">Noise on a single sample: a flipped rx level at the mid-bit sample corrupts that bit (single-sample design, no majority vote).</t>
  </si>
  <si>
    <t xml:space="preserve">Flip rx for &gt;= 1 rx_tick centred on the sample point of data bit k, k = 0..7.</t>
  </si>
  <si>
    <t xml:space="preserve">scb_rx expects bit k flipped (known limitation), or waive</t>
  </si>
  <si>
    <t xml:space="preserve">cp_noise_bit (0..7)</t>
  </si>
  <si>
    <t xml:space="preserve">Expected behaviour of this design. Either mark Waived with this reason, or add a 3-sample majority vote to the RTL and flip the expectation.</t>
  </si>
  <si>
    <t xml:space="preserve">BDT001</t>
  </si>
  <si>
    <t xml:space="preserve">RX tolerates a transmitter bit-period offset of up to +/-2% from nominal.</t>
  </si>
  <si>
    <t xml:space="preserve">drv_rx bit period = round(5208 x (1 + offset)) clks for offset in {-2%, -1%, 0, +1%, +2%}; &gt;= 20 random bytes each, random start-edge phase.</t>
  </si>
  <si>
    <t xml:space="preserve">cp_baud_offset (-2..+2 % bins)</t>
  </si>
  <si>
    <t xml:space="preserve">Zero offset = 5208 clks (the TX period). RX's own period is 16 x 325 = 5200, so its true zero point is 0.15% lower.</t>
  </si>
  <si>
    <t xml:space="preserve">BDT002</t>
  </si>
  <si>
    <t xml:space="preserve">Find the offset at which RX first fails; must pass through +/-3%.</t>
  </si>
  <si>
    <t xml:space="preserve">Offsets -6% to +6% in 1% steps; &gt;= 50 random bytes each.</t>
  </si>
  <si>
    <t xml:space="preserve">scb_rx; log first failing offset in each direction</t>
  </si>
  <si>
    <t xml:space="preserve">cp_baud_offset (-6..+6 % bins)</t>
  </si>
  <si>
    <t xml:space="preserve">Hand estimate: failures start around +/-4 to 5% (the stop bit, sampled 9.5 bit times after the start edge, is the limit). Not simulated - record the measured limit in the spec.</t>
  </si>
  <si>
    <t xml:space="preserve">PAR001</t>
  </si>
  <si>
    <t xml:space="preserve">Frame correctness over a parameter sweep of clk_freq and baud_rate.</t>
  </si>
  <si>
    <t xml:space="preserve">Run the supported configs from Param_Calc: (50M, 9600), (50M, 115200), (50M, 312500), (100M, 115200), (25M, 9600); smoke test plus E2E001 on each.</t>
  </si>
  <si>
    <t xml:space="preserve">mon_tx, scb_tx, scb_rx, SVA with CLKS_PER_BIT bound per config</t>
  </si>
  <si>
    <t xml:space="preserve">cp_cfg (one bin per config)</t>
  </si>
  <si>
    <t xml:space="preserve">Param_Calc shows the TX vs RX period mismatch per config. 312500 baud is 160 clks/bit - handy for long regressions.</t>
  </si>
  <si>
    <t xml:space="preserve">PAR002</t>
  </si>
  <si>
    <t xml:space="preserve">Unsupported parameter combinations are identified and rejected, not left to fail silently.</t>
  </si>
  <si>
    <t xml:space="preserve">Elaborate (50M, 921600) [TX/RX mismatch 11%], (50M, 3.125M) [RX max = 1, edge case], (50M, 6.25M) [RX max = 0].</t>
  </si>
  <si>
    <t xml:space="preserve">Review plus elaboration-time check (ADD: $error in an initial block when clk_freq &lt; 16*baud_rate or mismatch &gt; limit)</t>
  </si>
  <si>
    <t xml:space="preserve">n/a (static check)</t>
  </si>
  <si>
    <t xml:space="preserve">When RX max = 1, $clog2 gives 0 and the counter is declared [-1:0] (2 bits); the tick then fires every clock. Below that the divide gives 0 and RX is broken.</t>
  </si>
  <si>
    <t xml:space="preserve">E2E001</t>
  </si>
  <si>
    <t xml:space="preserve">Loopback random traffic: every byte arrives once, in order, with the correct value.</t>
  </si>
  <si>
    <t xml:space="preserve">&gt;= 1000 random bytes, random idle gaps (0 to 3 frame times), rdy_clr latency 1 to 20 clks.</t>
  </si>
  <si>
    <t xml:space="preserve">scb (in-order compare of TX queue vs RX data_out)</t>
  </si>
  <si>
    <t xml:space="preserve">cg_e2e (cp_data x cp_idle_gap)</t>
  </si>
  <si>
    <t xml:space="preserve">Keep rdy_clr latency well under one frame so overrun does not occur here (overrun is RXI004). 1000 frames at 9600 baud is about 52M clocks - use a faster baud config for long runs.</t>
  </si>
  <si>
    <t xml:space="preserve">E2E002</t>
  </si>
  <si>
    <t xml:space="preserve">Directed data patterns end-to-end: 0x00, 0xFF, 0x55, 0xAA, 0x01, 0x80, walking 1 and walking 0, each repeated 10x.</t>
  </si>
  <si>
    <t xml:space="preserve">Directed sequence through wr_en, loopback to data_out.</t>
  </si>
  <si>
    <t xml:space="preserve">scb</t>
  </si>
  <si>
    <t xml:space="preserve">cg_tx_data.cp_data and cg_rx_data.cp_data - all bins hit</t>
  </si>
  <si>
    <t xml:space="preserve">E2E003</t>
  </si>
  <si>
    <t xml:space="preserve">Consecutive frames in loopback with zero gap: &gt;= 100 frames with wr_en re-issued on every busy fall.</t>
  </si>
  <si>
    <t xml:space="preserve">wr_en on the first cycle busy is low, random data.</t>
  </si>
  <si>
    <t xml:space="preserve">scb; a_busy_after_wr_en</t>
  </si>
  <si>
    <t xml:space="preserve">System-level version of TXI003 (this one also checks that RX keeps up).</t>
  </si>
  <si>
    <t xml:space="preserve">E2E004</t>
  </si>
  <si>
    <t xml:space="preserve">Reset in the middle of loopback traffic: system recovers and the first frame after reset (plus idle) is received correctly.</t>
  </si>
  <si>
    <t xml:space="preserve">Random rst during traffic; idle for one frame; send a frame; repeat.</t>
  </si>
  <si>
    <t xml:space="preserve">scb (flushed on rst); a_rst_values</t>
  </si>
  <si>
    <t xml:space="preserve">c_rst_mid_tx; cp_rx_state_at_rst</t>
  </si>
  <si>
    <t xml:space="preserve">Expect the same junk-byte question as RST003 - idle the line before checking.</t>
  </si>
  <si>
    <t xml:space="preserve">E2E005</t>
  </si>
  <si>
    <t xml:space="preserve">Full duplex: a TX frame and an independently driven RX frame in flight at the same time; both correct.</t>
  </si>
  <si>
    <t xml:space="preserve">Start a TX frame and a drv_rx frame with random relative offset, different data.</t>
  </si>
  <si>
    <t xml:space="preserve">scb_tx / mon_tx and scb_rx</t>
  </si>
  <si>
    <t xml:space="preserve">cp_duplex_overlap (TX starts during RX START, DATA, STOP; and the reverse)</t>
  </si>
  <si>
    <t xml:space="preserve">Needs the exposed rx pin. TX and RX share one baud generator, so they cannot drift against each other here.</t>
  </si>
  <si>
    <t xml:space="preserve">FSM001</t>
  </si>
  <si>
    <t xml:space="preserve">TX FSM: all 4 states visited and all transitions taken (IDLE-&gt;START, START-&gt;DATA, DATA-&gt;DATA, DATA-&gt;STOP, STOP-&gt;IDLE) plus the hold loops waiting for tx_tick.</t>
  </si>
  <si>
    <t xml:space="preserve">Union of all TX tests.</t>
  </si>
  <si>
    <t xml:space="preserve">a_tx_fsm_legal (ADD SVA: no illegal state jumps)</t>
  </si>
  <si>
    <t xml:space="preserve">cp_tx_state; cp_tx_trans (transition bins) in cov.sv</t>
  </si>
  <si>
    <t xml:space="preserve">The default branch is unreachable (the 2-bit enum uses all 4 codes): exclude it from coverage and record the reason.</t>
  </si>
  <si>
    <t xml:space="preserve">FSM002</t>
  </si>
  <si>
    <t xml:space="preserve">RX FSM: all 4 states and all transitions, including START-&gt;IDLE (false start) and STOP-&gt;IDLE with rx_s=0 (framing error).</t>
  </si>
  <si>
    <t xml:space="preserve">Union of all RX tests, plus RXE001 and RXE002.</t>
  </si>
  <si>
    <t xml:space="preserve">a_rx_fsm_legal (ADD SVA)</t>
  </si>
  <si>
    <t xml:space="preserve">cp_rx_state; cp_rx_trans</t>
  </si>
  <si>
    <t xml:space="preserve">The two error arcs are unreachable in loopback - they need drv_rx.</t>
  </si>
  <si>
    <t xml:space="preserve">FSM003</t>
  </si>
  <si>
    <t xml:space="preserve">Counters reach full range and never exceed it: TX bit_count 0..7; RX index 0..7; RX sample 0..7 in START and 0..15 in DATA_OUT/STOP.</t>
  </si>
  <si>
    <t xml:space="preserve">Union of all frame tests.</t>
  </si>
  <si>
    <t xml:space="preserve">a_rx_sample_range (ADD SVA); a_tx_bitcount_range (ADD SVA)</t>
  </si>
  <si>
    <t xml:space="preserve">cp_bit_count; cp_rx_index; cp_rx_sample</t>
  </si>
  <si>
    <t xml:space="preserve">CDC001</t>
  </si>
  <si>
    <t xml:space="preserve">rx input is synchronised by a 2-FF chain before use (metastability protection).</t>
  </si>
  <si>
    <t xml:space="preserve">Not testable in RTL simulation (no metastability model).</t>
  </si>
  <si>
    <t xml:space="preserve">Manual review; CDC lint tool if available</t>
  </si>
  <si>
    <t xml:space="preserve">n/a</t>
  </si>
  <si>
    <t xml:space="preserve">The functional side effect (2-clock input latency) is exercised by RXF003. Record the review sign-off in Notes.</t>
  </si>
  <si>
    <t xml:space="preserve">UART verification plan - summary</t>
  </si>
  <si>
    <t xml:space="preserve">Total plan rows</t>
  </si>
  <si>
    <t xml:space="preserve">Pass rate (excluding waived)</t>
  </si>
  <si>
    <t xml:space="preserve">Rows with an SVA still to add</t>
  </si>
  <si>
    <t xml:space="preserve">Status by priority</t>
  </si>
  <si>
    <t xml:space="preserve">Total</t>
  </si>
  <si>
    <t xml:space="preserve">In progress</t>
  </si>
  <si>
    <t xml:space="preserve">Pass</t>
  </si>
  <si>
    <t xml:space="preserve">Fail</t>
  </si>
  <si>
    <t xml:space="preserve">Blocked</t>
  </si>
  <si>
    <t xml:space="preserve">Waived</t>
  </si>
  <si>
    <t xml:space="preserve">Rows with unrecognised status/priority</t>
  </si>
  <si>
    <t xml:space="preserve">By area</t>
  </si>
  <si>
    <t xml:space="preserve">Area</t>
  </si>
  <si>
    <t xml:space="preserve">ID prefix</t>
  </si>
  <si>
    <t xml:space="preserve">% Pass</t>
  </si>
  <si>
    <t xml:space="preserve">Reset</t>
  </si>
  <si>
    <t xml:space="preserve">RST</t>
  </si>
  <si>
    <t xml:space="preserve">Baud generator</t>
  </si>
  <si>
    <t xml:space="preserve">BRG</t>
  </si>
  <si>
    <t xml:space="preserve">TX frame format and timing</t>
  </si>
  <si>
    <t xml:space="preserve">TXF</t>
  </si>
  <si>
    <t xml:space="preserve">TX host interface</t>
  </si>
  <si>
    <t xml:space="preserve">TXI</t>
  </si>
  <si>
    <t xml:space="preserve">RX reception and sampling</t>
  </si>
  <si>
    <t xml:space="preserve">RXF</t>
  </si>
  <si>
    <t xml:space="preserve">RX host interface</t>
  </si>
  <si>
    <t xml:space="preserve">RXI</t>
  </si>
  <si>
    <t xml:space="preserve">RX errors and robustness</t>
  </si>
  <si>
    <t xml:space="preserve">RXE</t>
  </si>
  <si>
    <t xml:space="preserve">Baud tolerance</t>
  </si>
  <si>
    <t xml:space="preserve">BDT</t>
  </si>
  <si>
    <t xml:space="preserve">Parameters</t>
  </si>
  <si>
    <t xml:space="preserve">PAR</t>
  </si>
  <si>
    <t xml:space="preserve">End-to-end</t>
  </si>
  <si>
    <t xml:space="preserve">E2E</t>
  </si>
  <si>
    <t xml:space="preserve">FSM and counter coverage</t>
  </si>
  <si>
    <t xml:space="preserve">FSM</t>
  </si>
  <si>
    <t xml:space="preserve">CDC</t>
  </si>
  <si>
    <t xml:space="preserve">Component</t>
  </si>
  <si>
    <t xml:space="preserve">Role</t>
  </si>
  <si>
    <t xml:space="preserve">Where</t>
  </si>
  <si>
    <t xml:space="preserve">Serial pin access (RTL change)</t>
  </si>
  <si>
    <t xml:space="preserve">Expose tx as an output and rx as an input on UART and UART_if, with a loopback enable so rx is either tied to tx or driven independently.</t>
  </si>
  <si>
    <t xml:space="preserve">UART.sv, UART_if.sv</t>
  </si>
  <si>
    <t xml:space="preserve">Needed for every row that says 'Needs drv_rx', for full-duplex tests, and for decoding tx without hierarchical references. Keep loopback as the default so existing tests still work.</t>
  </si>
  <si>
    <t xml:space="preserve">uart_sva.sv (assertions)</t>
  </si>
  <si>
    <t xml:space="preserve">SVA checker module attached to UART with bind. Holds the a_* and c_* items named in the Checker and Coverage columns.</t>
  </si>
  <si>
    <t xml:space="preserve">uart_sva.sv</t>
  </si>
  <si>
    <t xml:space="preserve">Starter written, not simulated</t>
  </si>
  <si>
    <t xml:space="preserve">13 items written (a_rst_values, c_rst_after_traffic, c_rst_mid_tx, a_tx_tick_period, a_tx_idle_high, a_tx_changes_on_tick, a_busy_after_wr_en, c_wr_en_at_busy_fall, c_wr_en_while_busy, a_rdy_holds, a_data_out_with_rdy, c_rdy_clr_collision, c_overrun). Names marked ADD still need writing.</t>
  </si>
  <si>
    <t xml:space="preserve">drv_wr (host driver)</t>
  </si>
  <si>
    <t xml:space="preserve">Drives rst, wr_en, data_in and rdy_clr with directed and randomised timing (phase relative to tx_tick, back-to-back, held-high, rdy_clr delay).</t>
  </si>
  <si>
    <t xml:space="preserve">testbench</t>
  </si>
  <si>
    <t xml:space="preserve">mon_tx (independent TX monitor)</t>
  </si>
  <si>
    <t xml:space="preserve">Watches the tx line, measures bit widths in clocks on a grid anchored on the start-bit edge, decodes the byte LSB first, flags aborted frames, checks busy fall against stop-bit start.</t>
  </si>
  <si>
    <t xml:space="preserve">Must not share code or assumptions with the RTL; that independence is what makes it a real check.</t>
  </si>
  <si>
    <t xml:space="preserve">drv_rx (serial RX driver)</t>
  </si>
  <si>
    <t xml:space="preserve">Drives the rx line. Knobs: data, bit period in clocks, start-edge phase, stop-bit value, idle gap, glitch width and position, break length.</t>
  </si>
  <si>
    <t xml:space="preserve">Depends on the serial pin access change.</t>
  </si>
  <si>
    <t xml:space="preserve">scb_tx / scb_rx (scoreboards)</t>
  </si>
  <si>
    <t xml:space="preserve">Queues of expected bytes compared against mon_tx output and RX data_out at the rdy rise. Flushed on reset. scb_rx must know about dropped, overrun and spurious-byte cases.</t>
  </si>
  <si>
    <t xml:space="preserve">cov.sv (covergroups)</t>
  </si>
  <si>
    <t xml:space="preserve">cg_* / cp_* items named in the Coverage column (data bins, FSM state and transition bins, phase bins, idle gap, glitch width, baud offset, config).</t>
  </si>
  <si>
    <t xml:space="preserve">cov.sv</t>
  </si>
  <si>
    <t xml:space="preserve">Name each covergroup exactly as in the plan so a row traces straight to its code.</t>
  </si>
  <si>
    <t xml:space="preserve">Regression configs</t>
  </si>
  <si>
    <t xml:space="preserve">Parameter sets for PAR001 plus a fast config (e.g. 50 MHz / 312500 baud) for long random runs.</t>
  </si>
  <si>
    <t xml:space="preserve">run script</t>
  </si>
  <si>
    <t xml:space="preserve">See Param_Calc for the supported and unsupported combinations.</t>
  </si>
  <si>
    <t xml:space="preserve">Baud generator parameter check</t>
  </si>
  <si>
    <t xml:space="preserve">Mirrors the integer divisions in baud_rate_generator.sv. Edit the blue cells to try other configs.</t>
  </si>
  <si>
    <t xml:space="preserve">Mismatch risk threshold</t>
  </si>
  <si>
    <t xml:space="preserve">Assumption: the hand estimate of RX baud tolerance is about +/-4 to 5%, so a TX/RX period mismatch above 2% leaves little margin. Not simulated.</t>
  </si>
  <si>
    <t xml:space="preserve">clk_freq (Hz)</t>
  </si>
  <si>
    <t xml:space="preserve">baud_rate</t>
  </si>
  <si>
    <t xml:space="preserve">TX clks/bit</t>
  </si>
  <si>
    <t xml:space="preserve">RX tick divisor</t>
  </si>
  <si>
    <t xml:space="preserve">RX clks/bit (16x)</t>
  </si>
  <si>
    <t xml:space="preserve">TX/RX mismatch</t>
  </si>
  <si>
    <t xml:space="preserve">Verdict</t>
  </si>
  <si>
    <t xml:space="preserve">Default config is row 6 (50 MHz, 9600 baud): TX 5208 clks/bit, RX 325 x 16 = 5200.</t>
  </si>
  <si>
    <t xml:space="preserve">RX divisor = 1 is the edge case: $clog2(1) = 0, so the RX counter is declared [-1:0] and the tick fires every clock. Divisor 0 breaks RX.</t>
  </si>
  <si>
    <t xml:space="preserve">How to use this workbook</t>
  </si>
  <si>
    <t xml:space="preserve">Columns (Testplan sheet)</t>
  </si>
  <si>
    <t xml:space="preserve">Area prefix + number (RST, BRG, TXF, TXI, RXF, RXI, RXE, BDT, PAR, E2E, FSM, CDC). Summary counts by prefix.</t>
  </si>
  <si>
    <t xml:space="preserve">One checkable statement of what must be true.</t>
  </si>
  <si>
    <t xml:space="preserve">What the testbench does to exercise it.</t>
  </si>
  <si>
    <t xml:space="preserve">The mechanism that FAILS if the feature is broken: an assertion, monitor or scoreboard check.</t>
  </si>
  <si>
    <t xml:space="preserve">The cover property or covergroup bin that proves the scenario actually happened. A pass without this hit proves nothing.</t>
  </si>
  <si>
    <t xml:space="preserve">P1 = core function, must pass before calling the design verified. P2 = error handling and corner cases. P3 = robustness extras and characterisation.</t>
  </si>
  <si>
    <t xml:space="preserve">Not started / In progress / Pass / Fail / Blocked / Waived. Give the reason for any Blocked or Waived in Notes.</t>
  </si>
  <si>
    <t xml:space="preserve">What to edit</t>
  </si>
  <si>
    <t xml:space="preserve">Yellow cells</t>
  </si>
  <si>
    <t xml:space="preserve">Status (Testplan column G and Components column D) and the blue input cells on Param_Calc. Everything else can stay as is; add rows below the last one and the Summary picks them up (formulas read down to row 200).</t>
  </si>
  <si>
    <t xml:space="preserve">Example row</t>
  </si>
  <si>
    <t xml:space="preserve">Read RST001 as: after reset the outputs have their reset values (feature); hold rst, then re-apply it after a frame (stimulus); assertion a_rst_values fails if not (checker); c_rst_after_traffic proves the second case ran (coverage); P1; Not started.</t>
  </si>
  <si>
    <t xml:space="preserve">Naming convention</t>
  </si>
  <si>
    <t xml:space="preserve">a_*  /  c_*</t>
  </si>
  <si>
    <t xml:space="preserve">SVA assert / cover directives. These live in uart_sva.sv. Where a row lists '(vacuity)', the cover is the assertion's antecedent, to catch an assertion that never triggered.</t>
  </si>
  <si>
    <t xml:space="preserve">(ADD SVA) / ADD</t>
  </si>
  <si>
    <t xml:space="preserve">Named in the plan but not yet written in uart_sva.sv. The Summary counts the Checker cells containing 'ADD SVA'.</t>
  </si>
  <si>
    <t xml:space="preserve">mon_tx, drv_rx, drv_wr, scb_*</t>
  </si>
  <si>
    <t xml:space="preserve">Testbench components, described on the Components sheet.</t>
  </si>
  <si>
    <t xml:space="preserve">cg_* / cp_*</t>
  </si>
  <si>
    <t xml:space="preserve">Covergroups and coverpoints in cov.sv.</t>
  </si>
  <si>
    <t xml:space="preserve">Assumptions and sources</t>
  </si>
  <si>
    <t xml:space="preserve">RTL read</t>
  </si>
  <si>
    <t xml:space="preserve">baud_rate_generator.sv, transmitter_block.sv, receiver_block.sv, UART.sv and UART_if.sv from the UART folder of Ah-deee/sv_labs, as read during this conversation. uart_pkg.sv and cov.sv were empty.</t>
  </si>
  <si>
    <t xml:space="preserve">Default numbers</t>
  </si>
  <si>
    <t xml:space="preserve">clk_freq = 50,000,000 and baud_rate = 9600 are the defaults in baud_rate_generator.sv. They give 5208 TX clocks per bit and an rx_tick every 325 clocks (16 x 325 = 5200).</t>
  </si>
  <si>
    <t xml:space="preserve">The +/-4 to 5% figure is a hand calculation (stop bit sampled 9.5 bit times after the start edge, start detection up to 1/16 bit late). It has not been simulated.</t>
  </si>
  <si>
    <t xml:space="preserve">Glitch threshold</t>
  </si>
  <si>
    <t xml:space="preserve">The 'about half a bit' figure comes from the 8-rx_tick start-bit check (8 x 325 = 2600 clocks of a 5200-clock bit). Not simulated.</t>
  </si>
  <si>
    <t xml:space="preserve">Not simulated</t>
  </si>
  <si>
    <t xml:space="preserve">Nothing in this plan has been run. Timing bounds in the assertions (for example the +1 slack in a_start_latency) may need adjusting after the first run.</t>
  </si>
  <si>
    <t xml:space="preserve">Design limitations</t>
  </si>
  <si>
    <t xml:space="preserve">No framing-error, overrun or break flags exist; those cases are dropped silently. The plan lists them so the spec can state it explicitly.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</si>
</sst>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General"/>
    <numFmt numFmtId="168" formatCode="0%"/>
    <numFmt numFmtId="169" formatCode="#,##0"/>
    <numFmt numFmtId="170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5" min="4" style="0" width="40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5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5" t="s">
        <v>14</v>
      </c>
      <c r="H2" s="3" t="s">
        <v>15</v>
      </c>
    </row>
    <row r="3" customFormat="false" ht="35.05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4" t="s">
        <v>13</v>
      </c>
      <c r="G3" s="5" t="s">
        <v>14</v>
      </c>
      <c r="H3" s="3" t="s">
        <v>21</v>
      </c>
    </row>
    <row r="4" customFormat="false" ht="46.25" hidden="false" customHeight="false" outlineLevel="0" collapsed="false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4" t="s">
        <v>27</v>
      </c>
      <c r="G4" s="5" t="s">
        <v>14</v>
      </c>
      <c r="H4" s="3" t="s">
        <v>28</v>
      </c>
    </row>
    <row r="5" customFormat="false" ht="23.85" hidden="false" customHeight="false" outlineLevel="0" collapsed="false">
      <c r="A5" s="2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4" t="s">
        <v>34</v>
      </c>
      <c r="G5" s="5" t="s">
        <v>14</v>
      </c>
      <c r="H5" s="3" t="s">
        <v>35</v>
      </c>
    </row>
    <row r="6" customFormat="false" ht="23.85" hidden="false" customHeight="false" outlineLevel="0" collapsed="false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4" t="s">
        <v>13</v>
      </c>
      <c r="G6" s="5" t="s">
        <v>14</v>
      </c>
      <c r="H6" s="3" t="s">
        <v>41</v>
      </c>
    </row>
    <row r="7" customFormat="false" ht="23.85" hidden="false" customHeight="false" outlineLevel="0" collapsed="false">
      <c r="A7" s="2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4" t="s">
        <v>13</v>
      </c>
      <c r="G7" s="5" t="s">
        <v>14</v>
      </c>
      <c r="H7" s="3" t="s">
        <v>47</v>
      </c>
    </row>
    <row r="8" customFormat="false" ht="23.85" hidden="false" customHeight="false" outlineLevel="0" collapsed="false">
      <c r="A8" s="2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4" t="s">
        <v>13</v>
      </c>
      <c r="G8" s="5" t="s">
        <v>14</v>
      </c>
      <c r="H8" s="3" t="s">
        <v>53</v>
      </c>
    </row>
    <row r="9" customFormat="false" ht="35.05" hidden="false" customHeight="false" outlineLevel="0" collapsed="false">
      <c r="A9" s="2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4" t="s">
        <v>13</v>
      </c>
      <c r="G9" s="5" t="s">
        <v>14</v>
      </c>
      <c r="H9" s="3" t="s">
        <v>59</v>
      </c>
    </row>
    <row r="10" customFormat="false" ht="23.85" hidden="false" customHeight="false" outlineLevel="0" collapsed="false">
      <c r="A10" s="2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4" t="s">
        <v>13</v>
      </c>
      <c r="G10" s="5" t="s">
        <v>14</v>
      </c>
      <c r="H10" s="3" t="s">
        <v>65</v>
      </c>
    </row>
    <row r="11" customFormat="false" ht="23.85" hidden="false" customHeight="false" outlineLevel="0" collapsed="false">
      <c r="A11" s="2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4" t="s">
        <v>13</v>
      </c>
      <c r="G11" s="5" t="s">
        <v>14</v>
      </c>
      <c r="H11" s="3"/>
    </row>
    <row r="12" customFormat="false" ht="35.05" hidden="false" customHeight="false" outlineLevel="0" collapsed="false">
      <c r="A12" s="2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4" t="s">
        <v>27</v>
      </c>
      <c r="G12" s="5" t="s">
        <v>14</v>
      </c>
      <c r="H12" s="3" t="s">
        <v>76</v>
      </c>
    </row>
    <row r="13" customFormat="false" ht="23.85" hidden="false" customHeight="false" outlineLevel="0" collapsed="false">
      <c r="A13" s="2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4" t="s">
        <v>13</v>
      </c>
      <c r="G13" s="5" t="s">
        <v>14</v>
      </c>
      <c r="H13" s="3" t="s">
        <v>82</v>
      </c>
    </row>
    <row r="14" customFormat="false" ht="23.85" hidden="false" customHeight="false" outlineLevel="0" collapsed="false">
      <c r="A14" s="2" t="s">
        <v>83</v>
      </c>
      <c r="B14" s="3" t="s">
        <v>84</v>
      </c>
      <c r="C14" s="3" t="s">
        <v>85</v>
      </c>
      <c r="D14" s="3" t="s">
        <v>86</v>
      </c>
      <c r="E14" s="3" t="s">
        <v>87</v>
      </c>
      <c r="F14" s="4" t="s">
        <v>13</v>
      </c>
      <c r="G14" s="5" t="s">
        <v>14</v>
      </c>
      <c r="H14" s="3"/>
    </row>
    <row r="15" customFormat="false" ht="23.85" hidden="false" customHeight="false" outlineLevel="0" collapsed="false">
      <c r="A15" s="2" t="s">
        <v>88</v>
      </c>
      <c r="B15" s="3" t="s">
        <v>89</v>
      </c>
      <c r="C15" s="3" t="s">
        <v>90</v>
      </c>
      <c r="D15" s="3" t="s">
        <v>91</v>
      </c>
      <c r="E15" s="3" t="s">
        <v>92</v>
      </c>
      <c r="F15" s="4" t="s">
        <v>13</v>
      </c>
      <c r="G15" s="5" t="s">
        <v>14</v>
      </c>
      <c r="H15" s="3" t="s">
        <v>93</v>
      </c>
    </row>
    <row r="16" customFormat="false" ht="23.85" hidden="false" customHeight="false" outlineLevel="0" collapsed="false">
      <c r="A16" s="2" t="s">
        <v>94</v>
      </c>
      <c r="B16" s="3" t="s">
        <v>95</v>
      </c>
      <c r="C16" s="3" t="s">
        <v>96</v>
      </c>
      <c r="D16" s="3" t="s">
        <v>97</v>
      </c>
      <c r="E16" s="3" t="s">
        <v>98</v>
      </c>
      <c r="F16" s="4" t="s">
        <v>27</v>
      </c>
      <c r="G16" s="5" t="s">
        <v>14</v>
      </c>
      <c r="H16" s="3" t="s">
        <v>99</v>
      </c>
    </row>
    <row r="17" customFormat="false" ht="23.85" hidden="false" customHeight="false" outlineLevel="0" collapsed="false">
      <c r="A17" s="2" t="s">
        <v>100</v>
      </c>
      <c r="B17" s="3" t="s">
        <v>101</v>
      </c>
      <c r="C17" s="3" t="s">
        <v>102</v>
      </c>
      <c r="D17" s="3" t="s">
        <v>103</v>
      </c>
      <c r="E17" s="3" t="s">
        <v>104</v>
      </c>
      <c r="F17" s="4" t="s">
        <v>13</v>
      </c>
      <c r="G17" s="5" t="s">
        <v>14</v>
      </c>
      <c r="H17" s="3"/>
    </row>
    <row r="18" customFormat="false" ht="23.85" hidden="false" customHeight="false" outlineLevel="0" collapsed="false">
      <c r="A18" s="2" t="s">
        <v>105</v>
      </c>
      <c r="B18" s="3" t="s">
        <v>106</v>
      </c>
      <c r="C18" s="3" t="s">
        <v>107</v>
      </c>
      <c r="D18" s="3" t="s">
        <v>108</v>
      </c>
      <c r="E18" s="3" t="s">
        <v>109</v>
      </c>
      <c r="F18" s="4" t="s">
        <v>13</v>
      </c>
      <c r="G18" s="5" t="s">
        <v>14</v>
      </c>
      <c r="H18" s="3" t="s">
        <v>110</v>
      </c>
    </row>
    <row r="19" customFormat="false" ht="35.05" hidden="false" customHeight="false" outlineLevel="0" collapsed="false">
      <c r="A19" s="2" t="s">
        <v>111</v>
      </c>
      <c r="B19" s="3" t="s">
        <v>112</v>
      </c>
      <c r="C19" s="3" t="s">
        <v>102</v>
      </c>
      <c r="D19" s="3" t="s">
        <v>113</v>
      </c>
      <c r="E19" s="3" t="s">
        <v>114</v>
      </c>
      <c r="F19" s="4" t="s">
        <v>13</v>
      </c>
      <c r="G19" s="5" t="s">
        <v>14</v>
      </c>
      <c r="H19" s="3" t="s">
        <v>115</v>
      </c>
    </row>
    <row r="20" customFormat="false" ht="35.05" hidden="false" customHeight="false" outlineLevel="0" collapsed="false">
      <c r="A20" s="2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4" t="s">
        <v>13</v>
      </c>
      <c r="G20" s="5" t="s">
        <v>14</v>
      </c>
      <c r="H20" s="3" t="s">
        <v>121</v>
      </c>
    </row>
    <row r="21" customFormat="false" ht="23.85" hidden="false" customHeight="false" outlineLevel="0" collapsed="false">
      <c r="A21" s="2" t="s">
        <v>122</v>
      </c>
      <c r="B21" s="3" t="s">
        <v>123</v>
      </c>
      <c r="C21" s="3" t="s">
        <v>124</v>
      </c>
      <c r="D21" s="3" t="s">
        <v>119</v>
      </c>
      <c r="E21" s="3" t="s">
        <v>125</v>
      </c>
      <c r="F21" s="4" t="s">
        <v>13</v>
      </c>
      <c r="G21" s="5" t="s">
        <v>14</v>
      </c>
      <c r="H21" s="3" t="s">
        <v>126</v>
      </c>
    </row>
    <row r="22" customFormat="false" ht="23.85" hidden="false" customHeight="false" outlineLevel="0" collapsed="false">
      <c r="A22" s="2" t="s">
        <v>127</v>
      </c>
      <c r="B22" s="3" t="s">
        <v>128</v>
      </c>
      <c r="C22" s="3" t="s">
        <v>129</v>
      </c>
      <c r="D22" s="3" t="s">
        <v>119</v>
      </c>
      <c r="E22" s="3" t="s">
        <v>130</v>
      </c>
      <c r="F22" s="4" t="s">
        <v>13</v>
      </c>
      <c r="G22" s="5" t="s">
        <v>14</v>
      </c>
      <c r="H22" s="3" t="s">
        <v>131</v>
      </c>
    </row>
    <row r="23" customFormat="false" ht="23.85" hidden="false" customHeight="false" outlineLevel="0" collapsed="false">
      <c r="A23" s="2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4" t="s">
        <v>27</v>
      </c>
      <c r="G23" s="5" t="s">
        <v>14</v>
      </c>
      <c r="H23" s="3"/>
    </row>
    <row r="24" customFormat="false" ht="23.85" hidden="false" customHeight="false" outlineLevel="0" collapsed="false">
      <c r="A24" s="2" t="s">
        <v>137</v>
      </c>
      <c r="B24" s="3" t="s">
        <v>138</v>
      </c>
      <c r="C24" s="3" t="s">
        <v>139</v>
      </c>
      <c r="D24" s="3" t="s">
        <v>140</v>
      </c>
      <c r="E24" s="3" t="s">
        <v>141</v>
      </c>
      <c r="F24" s="4" t="s">
        <v>13</v>
      </c>
      <c r="G24" s="5" t="s">
        <v>14</v>
      </c>
      <c r="H24" s="3" t="s">
        <v>142</v>
      </c>
    </row>
    <row r="25" customFormat="false" ht="23.85" hidden="false" customHeight="false" outlineLevel="0" collapsed="false">
      <c r="A25" s="2" t="s">
        <v>143</v>
      </c>
      <c r="B25" s="3" t="s">
        <v>144</v>
      </c>
      <c r="C25" s="3" t="s">
        <v>145</v>
      </c>
      <c r="D25" s="3" t="s">
        <v>146</v>
      </c>
      <c r="E25" s="3" t="s">
        <v>147</v>
      </c>
      <c r="F25" s="4" t="s">
        <v>13</v>
      </c>
      <c r="G25" s="5" t="s">
        <v>14</v>
      </c>
      <c r="H25" s="3" t="s">
        <v>148</v>
      </c>
    </row>
    <row r="26" customFormat="false" ht="23.85" hidden="false" customHeight="false" outlineLevel="0" collapsed="false">
      <c r="A26" s="2" t="s">
        <v>149</v>
      </c>
      <c r="B26" s="3" t="s">
        <v>150</v>
      </c>
      <c r="C26" s="3" t="s">
        <v>151</v>
      </c>
      <c r="D26" s="3" t="s">
        <v>152</v>
      </c>
      <c r="E26" s="3" t="s">
        <v>153</v>
      </c>
      <c r="F26" s="4" t="s">
        <v>27</v>
      </c>
      <c r="G26" s="5" t="s">
        <v>14</v>
      </c>
      <c r="H26" s="3" t="s">
        <v>154</v>
      </c>
    </row>
    <row r="27" customFormat="false" ht="23.85" hidden="false" customHeight="false" outlineLevel="0" collapsed="false">
      <c r="A27" s="2" t="s">
        <v>155</v>
      </c>
      <c r="B27" s="3" t="s">
        <v>156</v>
      </c>
      <c r="C27" s="3" t="s">
        <v>157</v>
      </c>
      <c r="D27" s="3" t="s">
        <v>158</v>
      </c>
      <c r="E27" s="3" t="s">
        <v>159</v>
      </c>
      <c r="F27" s="4" t="s">
        <v>27</v>
      </c>
      <c r="G27" s="5" t="s">
        <v>14</v>
      </c>
      <c r="H27" s="3" t="s">
        <v>160</v>
      </c>
    </row>
    <row r="28" customFormat="false" ht="35.05" hidden="false" customHeight="false" outlineLevel="0" collapsed="false">
      <c r="A28" s="2" t="s">
        <v>161</v>
      </c>
      <c r="B28" s="3" t="s">
        <v>162</v>
      </c>
      <c r="C28" s="3" t="s">
        <v>163</v>
      </c>
      <c r="D28" s="3" t="s">
        <v>164</v>
      </c>
      <c r="E28" s="3" t="s">
        <v>165</v>
      </c>
      <c r="F28" s="4" t="s">
        <v>27</v>
      </c>
      <c r="G28" s="5" t="s">
        <v>14</v>
      </c>
      <c r="H28" s="3" t="s">
        <v>166</v>
      </c>
    </row>
    <row r="29" customFormat="false" ht="23.85" hidden="false" customHeight="false" outlineLevel="0" collapsed="false">
      <c r="A29" s="2" t="s">
        <v>167</v>
      </c>
      <c r="B29" s="3" t="s">
        <v>168</v>
      </c>
      <c r="C29" s="3" t="s">
        <v>169</v>
      </c>
      <c r="D29" s="3" t="s">
        <v>170</v>
      </c>
      <c r="E29" s="3" t="s">
        <v>171</v>
      </c>
      <c r="F29" s="4" t="s">
        <v>27</v>
      </c>
      <c r="G29" s="5" t="s">
        <v>14</v>
      </c>
      <c r="H29" s="3" t="s">
        <v>172</v>
      </c>
    </row>
    <row r="30" customFormat="false" ht="35.05" hidden="false" customHeight="false" outlineLevel="0" collapsed="false">
      <c r="A30" s="2" t="s">
        <v>173</v>
      </c>
      <c r="B30" s="3" t="s">
        <v>174</v>
      </c>
      <c r="C30" s="3" t="s">
        <v>175</v>
      </c>
      <c r="D30" s="3" t="s">
        <v>176</v>
      </c>
      <c r="E30" s="3" t="s">
        <v>177</v>
      </c>
      <c r="F30" s="4" t="s">
        <v>34</v>
      </c>
      <c r="G30" s="5" t="s">
        <v>14</v>
      </c>
      <c r="H30" s="3" t="s">
        <v>178</v>
      </c>
    </row>
    <row r="31" customFormat="false" ht="46.25" hidden="false" customHeight="false" outlineLevel="0" collapsed="false">
      <c r="A31" s="2" t="s">
        <v>179</v>
      </c>
      <c r="B31" s="3" t="s">
        <v>180</v>
      </c>
      <c r="C31" s="3" t="s">
        <v>181</v>
      </c>
      <c r="D31" s="3" t="s">
        <v>182</v>
      </c>
      <c r="E31" s="3" t="s">
        <v>183</v>
      </c>
      <c r="F31" s="4" t="s">
        <v>27</v>
      </c>
      <c r="G31" s="5" t="s">
        <v>14</v>
      </c>
      <c r="H31" s="3" t="s">
        <v>184</v>
      </c>
    </row>
    <row r="32" customFormat="false" ht="35.05" hidden="false" customHeight="false" outlineLevel="0" collapsed="false">
      <c r="A32" s="2" t="s">
        <v>185</v>
      </c>
      <c r="B32" s="3" t="s">
        <v>186</v>
      </c>
      <c r="C32" s="3" t="s">
        <v>187</v>
      </c>
      <c r="D32" s="3" t="s">
        <v>188</v>
      </c>
      <c r="E32" s="3" t="s">
        <v>189</v>
      </c>
      <c r="F32" s="4" t="s">
        <v>34</v>
      </c>
      <c r="G32" s="5" t="s">
        <v>14</v>
      </c>
      <c r="H32" s="3" t="s">
        <v>190</v>
      </c>
    </row>
    <row r="33" customFormat="false" ht="35.05" hidden="false" customHeight="false" outlineLevel="0" collapsed="false">
      <c r="A33" s="2" t="s">
        <v>191</v>
      </c>
      <c r="B33" s="3" t="s">
        <v>192</v>
      </c>
      <c r="C33" s="3" t="s">
        <v>193</v>
      </c>
      <c r="D33" s="3" t="s">
        <v>119</v>
      </c>
      <c r="E33" s="3" t="s">
        <v>194</v>
      </c>
      <c r="F33" s="4" t="s">
        <v>13</v>
      </c>
      <c r="G33" s="5" t="s">
        <v>14</v>
      </c>
      <c r="H33" s="3" t="s">
        <v>195</v>
      </c>
    </row>
    <row r="34" customFormat="false" ht="35.05" hidden="false" customHeight="false" outlineLevel="0" collapsed="false">
      <c r="A34" s="2" t="s">
        <v>196</v>
      </c>
      <c r="B34" s="3" t="s">
        <v>197</v>
      </c>
      <c r="C34" s="3" t="s">
        <v>198</v>
      </c>
      <c r="D34" s="3" t="s">
        <v>199</v>
      </c>
      <c r="E34" s="3" t="s">
        <v>200</v>
      </c>
      <c r="F34" s="4" t="s">
        <v>27</v>
      </c>
      <c r="G34" s="5" t="s">
        <v>14</v>
      </c>
      <c r="H34" s="3" t="s">
        <v>201</v>
      </c>
    </row>
    <row r="35" customFormat="false" ht="35.05" hidden="false" customHeight="false" outlineLevel="0" collapsed="false">
      <c r="A35" s="2" t="s">
        <v>202</v>
      </c>
      <c r="B35" s="3" t="s">
        <v>203</v>
      </c>
      <c r="C35" s="3" t="s">
        <v>204</v>
      </c>
      <c r="D35" s="3" t="s">
        <v>205</v>
      </c>
      <c r="E35" s="3" t="s">
        <v>206</v>
      </c>
      <c r="F35" s="4" t="s">
        <v>27</v>
      </c>
      <c r="G35" s="5" t="s">
        <v>14</v>
      </c>
      <c r="H35" s="3" t="s">
        <v>207</v>
      </c>
    </row>
    <row r="36" customFormat="false" ht="35.05" hidden="false" customHeight="false" outlineLevel="0" collapsed="false">
      <c r="A36" s="2" t="s">
        <v>208</v>
      </c>
      <c r="B36" s="3" t="s">
        <v>209</v>
      </c>
      <c r="C36" s="3" t="s">
        <v>210</v>
      </c>
      <c r="D36" s="3" t="s">
        <v>211</v>
      </c>
      <c r="E36" s="3" t="s">
        <v>212</v>
      </c>
      <c r="F36" s="4" t="s">
        <v>34</v>
      </c>
      <c r="G36" s="5" t="s">
        <v>14</v>
      </c>
      <c r="H36" s="3" t="s">
        <v>213</v>
      </c>
    </row>
    <row r="37" customFormat="false" ht="35.05" hidden="false" customHeight="false" outlineLevel="0" collapsed="false">
      <c r="A37" s="2" t="s">
        <v>214</v>
      </c>
      <c r="B37" s="3" t="s">
        <v>215</v>
      </c>
      <c r="C37" s="3" t="s">
        <v>216</v>
      </c>
      <c r="D37" s="3" t="s">
        <v>217</v>
      </c>
      <c r="E37" s="3" t="s">
        <v>218</v>
      </c>
      <c r="F37" s="4" t="s">
        <v>13</v>
      </c>
      <c r="G37" s="5" t="s">
        <v>14</v>
      </c>
      <c r="H37" s="3" t="s">
        <v>219</v>
      </c>
    </row>
    <row r="38" customFormat="false" ht="23.85" hidden="false" customHeight="false" outlineLevel="0" collapsed="false">
      <c r="A38" s="2" t="s">
        <v>220</v>
      </c>
      <c r="B38" s="3" t="s">
        <v>221</v>
      </c>
      <c r="C38" s="3" t="s">
        <v>222</v>
      </c>
      <c r="D38" s="3" t="s">
        <v>223</v>
      </c>
      <c r="E38" s="3" t="s">
        <v>224</v>
      </c>
      <c r="F38" s="4" t="s">
        <v>13</v>
      </c>
      <c r="G38" s="5" t="s">
        <v>14</v>
      </c>
      <c r="H38" s="3"/>
    </row>
    <row r="39" customFormat="false" ht="23.85" hidden="false" customHeight="false" outlineLevel="0" collapsed="false">
      <c r="A39" s="2" t="s">
        <v>225</v>
      </c>
      <c r="B39" s="3" t="s">
        <v>226</v>
      </c>
      <c r="C39" s="3" t="s">
        <v>227</v>
      </c>
      <c r="D39" s="3" t="s">
        <v>228</v>
      </c>
      <c r="E39" s="3" t="s">
        <v>92</v>
      </c>
      <c r="F39" s="4" t="s">
        <v>13</v>
      </c>
      <c r="G39" s="5" t="s">
        <v>14</v>
      </c>
      <c r="H39" s="3" t="s">
        <v>229</v>
      </c>
    </row>
    <row r="40" customFormat="false" ht="23.85" hidden="false" customHeight="false" outlineLevel="0" collapsed="false">
      <c r="A40" s="2" t="s">
        <v>230</v>
      </c>
      <c r="B40" s="3" t="s">
        <v>231</v>
      </c>
      <c r="C40" s="3" t="s">
        <v>232</v>
      </c>
      <c r="D40" s="3" t="s">
        <v>233</v>
      </c>
      <c r="E40" s="3" t="s">
        <v>234</v>
      </c>
      <c r="F40" s="4" t="s">
        <v>27</v>
      </c>
      <c r="G40" s="5" t="s">
        <v>14</v>
      </c>
      <c r="H40" s="3" t="s">
        <v>235</v>
      </c>
    </row>
    <row r="41" customFormat="false" ht="23.85" hidden="false" customHeight="false" outlineLevel="0" collapsed="false">
      <c r="A41" s="2" t="s">
        <v>236</v>
      </c>
      <c r="B41" s="3" t="s">
        <v>237</v>
      </c>
      <c r="C41" s="3" t="s">
        <v>238</v>
      </c>
      <c r="D41" s="3" t="s">
        <v>239</v>
      </c>
      <c r="E41" s="3" t="s">
        <v>240</v>
      </c>
      <c r="F41" s="4" t="s">
        <v>27</v>
      </c>
      <c r="G41" s="5" t="s">
        <v>14</v>
      </c>
      <c r="H41" s="3" t="s">
        <v>241</v>
      </c>
    </row>
    <row r="42" customFormat="false" ht="35.05" hidden="false" customHeight="false" outlineLevel="0" collapsed="false">
      <c r="A42" s="2" t="s">
        <v>242</v>
      </c>
      <c r="B42" s="3" t="s">
        <v>243</v>
      </c>
      <c r="C42" s="3" t="s">
        <v>244</v>
      </c>
      <c r="D42" s="3" t="s">
        <v>245</v>
      </c>
      <c r="E42" s="3" t="s">
        <v>246</v>
      </c>
      <c r="F42" s="4" t="s">
        <v>13</v>
      </c>
      <c r="G42" s="5" t="s">
        <v>14</v>
      </c>
      <c r="H42" s="3" t="s">
        <v>247</v>
      </c>
    </row>
    <row r="43" customFormat="false" ht="23.85" hidden="false" customHeight="false" outlineLevel="0" collapsed="false">
      <c r="A43" s="2" t="s">
        <v>248</v>
      </c>
      <c r="B43" s="3" t="s">
        <v>249</v>
      </c>
      <c r="C43" s="3" t="s">
        <v>250</v>
      </c>
      <c r="D43" s="3" t="s">
        <v>251</v>
      </c>
      <c r="E43" s="3" t="s">
        <v>252</v>
      </c>
      <c r="F43" s="4" t="s">
        <v>13</v>
      </c>
      <c r="G43" s="5" t="s">
        <v>14</v>
      </c>
      <c r="H43" s="3" t="s">
        <v>253</v>
      </c>
    </row>
    <row r="44" customFormat="false" ht="35.05" hidden="false" customHeight="false" outlineLevel="0" collapsed="false">
      <c r="A44" s="2" t="s">
        <v>254</v>
      </c>
      <c r="B44" s="3" t="s">
        <v>255</v>
      </c>
      <c r="C44" s="3" t="s">
        <v>256</v>
      </c>
      <c r="D44" s="3" t="s">
        <v>257</v>
      </c>
      <c r="E44" s="3" t="s">
        <v>258</v>
      </c>
      <c r="F44" s="4" t="s">
        <v>27</v>
      </c>
      <c r="G44" s="5" t="s">
        <v>14</v>
      </c>
      <c r="H44" s="3"/>
    </row>
    <row r="45" customFormat="false" ht="23.85" hidden="false" customHeight="false" outlineLevel="0" collapsed="false">
      <c r="A45" s="2" t="s">
        <v>259</v>
      </c>
      <c r="B45" s="3" t="s">
        <v>260</v>
      </c>
      <c r="C45" s="3" t="s">
        <v>261</v>
      </c>
      <c r="D45" s="3" t="s">
        <v>262</v>
      </c>
      <c r="E45" s="3" t="s">
        <v>263</v>
      </c>
      <c r="F45" s="4" t="s">
        <v>27</v>
      </c>
      <c r="G45" s="5" t="s">
        <v>14</v>
      </c>
      <c r="H45" s="3" t="s">
        <v>264</v>
      </c>
    </row>
  </sheetData>
  <autoFilter ref="A1:H45"/>
  <conditionalFormatting sqref="G2:G200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"In progress"</formula>
    </cfRule>
    <cfRule type="cellIs" priority="6" operator="equal" aboveAverage="0" equalAverage="0" bottom="0" percent="0" rank="0" text="" dxfId="8">
      <formula>"Waived"</formula>
    </cfRule>
  </conditionalFormatting>
  <dataValidations count="2">
    <dataValidation allowBlank="true" errorStyle="stop" operator="between" showDropDown="false" showErrorMessage="false" showInputMessage="false" sqref="F2:F200" type="list">
      <formula1>"P1,P2,P3"</formula1>
      <formula2>0</formula2>
    </dataValidation>
    <dataValidation allowBlank="true" errorStyle="stop" operator="between" showDropDown="false" showErrorMessage="false" showInputMessage="false" sqref="G2:G200" type="list">
      <formula1>"Not started,In progress,Pass,Fail,Blocked,Waived"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6" t="s">
        <v>265</v>
      </c>
    </row>
    <row r="3" customFormat="false" ht="15" hidden="false" customHeight="false" outlineLevel="0" collapsed="false">
      <c r="A3" s="7" t="s">
        <v>266</v>
      </c>
      <c r="B3" s="8" t="n">
        <f aca="false">COUNTA(Testplan!$A$2:$A$200)</f>
        <v>44</v>
      </c>
    </row>
    <row r="4" customFormat="false" ht="15" hidden="false" customHeight="false" outlineLevel="0" collapsed="false">
      <c r="A4" s="7" t="s">
        <v>267</v>
      </c>
      <c r="B4" s="9" t="n">
        <f aca="false">IFERROR(COUNTIF(Testplan!$G$2:$G$200,"Pass")/(B3-COUNTIF(Testplan!$G$2:$G$200,"Waived")),0)</f>
        <v>0</v>
      </c>
    </row>
    <row r="5" customFormat="false" ht="15" hidden="false" customHeight="false" outlineLevel="0" collapsed="false">
      <c r="A5" s="7" t="s">
        <v>268</v>
      </c>
      <c r="B5" s="8" t="n">
        <f aca="false">COUNTIF(Testplan!$D$2:$D$200,"*ADD SVA*")</f>
        <v>9</v>
      </c>
    </row>
    <row r="7" customFormat="false" ht="15" hidden="false" customHeight="false" outlineLevel="0" collapsed="false">
      <c r="A7" s="10" t="s">
        <v>269</v>
      </c>
    </row>
    <row r="8" customFormat="false" ht="15" hidden="false" customHeight="false" outlineLevel="0" collapsed="false">
      <c r="A8" s="11" t="s">
        <v>6</v>
      </c>
      <c r="B8" s="11" t="s">
        <v>13</v>
      </c>
      <c r="C8" s="11" t="s">
        <v>27</v>
      </c>
      <c r="D8" s="11" t="s">
        <v>34</v>
      </c>
      <c r="E8" s="11" t="s">
        <v>270</v>
      </c>
    </row>
    <row r="9" customFormat="false" ht="15" hidden="false" customHeight="false" outlineLevel="0" collapsed="false">
      <c r="A9" s="12" t="s">
        <v>14</v>
      </c>
      <c r="B9" s="13" t="n">
        <f aca="false">COUNTIFS(Testplan!$G$2:$G$200,$A9,Testplan!$F$2:$F$200,B$8)</f>
        <v>25</v>
      </c>
      <c r="C9" s="13" t="n">
        <f aca="false">COUNTIFS(Testplan!$G$2:$G$200,$A9,Testplan!$F$2:$F$200,C$8)</f>
        <v>15</v>
      </c>
      <c r="D9" s="13" t="n">
        <f aca="false">COUNTIFS(Testplan!$G$2:$G$200,$A9,Testplan!$F$2:$F$200,D$8)</f>
        <v>4</v>
      </c>
      <c r="E9" s="14" t="n">
        <f aca="false">SUM(B9:D9)</f>
        <v>44</v>
      </c>
    </row>
    <row r="10" customFormat="false" ht="15" hidden="false" customHeight="false" outlineLevel="0" collapsed="false">
      <c r="A10" s="12" t="s">
        <v>271</v>
      </c>
      <c r="B10" s="13" t="n">
        <f aca="false">COUNTIFS(Testplan!$G$2:$G$200,$A10,Testplan!$F$2:$F$200,B$8)</f>
        <v>0</v>
      </c>
      <c r="C10" s="13" t="n">
        <f aca="false">COUNTIFS(Testplan!$G$2:$G$200,$A10,Testplan!$F$2:$F$200,C$8)</f>
        <v>0</v>
      </c>
      <c r="D10" s="13" t="n">
        <f aca="false">COUNTIFS(Testplan!$G$2:$G$200,$A10,Testplan!$F$2:$F$200,D$8)</f>
        <v>0</v>
      </c>
      <c r="E10" s="14" t="n">
        <f aca="false">SUM(B10:D10)</f>
        <v>0</v>
      </c>
    </row>
    <row r="11" customFormat="false" ht="15" hidden="false" customHeight="false" outlineLevel="0" collapsed="false">
      <c r="A11" s="12" t="s">
        <v>272</v>
      </c>
      <c r="B11" s="13" t="n">
        <f aca="false">COUNTIFS(Testplan!$G$2:$G$200,$A11,Testplan!$F$2:$F$200,B$8)</f>
        <v>0</v>
      </c>
      <c r="C11" s="13" t="n">
        <f aca="false">COUNTIFS(Testplan!$G$2:$G$200,$A11,Testplan!$F$2:$F$200,C$8)</f>
        <v>0</v>
      </c>
      <c r="D11" s="13" t="n">
        <f aca="false">COUNTIFS(Testplan!$G$2:$G$200,$A11,Testplan!$F$2:$F$200,D$8)</f>
        <v>0</v>
      </c>
      <c r="E11" s="14" t="n">
        <f aca="false">SUM(B11:D11)</f>
        <v>0</v>
      </c>
    </row>
    <row r="12" customFormat="false" ht="15" hidden="false" customHeight="false" outlineLevel="0" collapsed="false">
      <c r="A12" s="12" t="s">
        <v>273</v>
      </c>
      <c r="B12" s="13" t="n">
        <f aca="false">COUNTIFS(Testplan!$G$2:$G$200,$A12,Testplan!$F$2:$F$200,B$8)</f>
        <v>0</v>
      </c>
      <c r="C12" s="13" t="n">
        <f aca="false">COUNTIFS(Testplan!$G$2:$G$200,$A12,Testplan!$F$2:$F$200,C$8)</f>
        <v>0</v>
      </c>
      <c r="D12" s="13" t="n">
        <f aca="false">COUNTIFS(Testplan!$G$2:$G$200,$A12,Testplan!$F$2:$F$200,D$8)</f>
        <v>0</v>
      </c>
      <c r="E12" s="14" t="n">
        <f aca="false">SUM(B12:D12)</f>
        <v>0</v>
      </c>
    </row>
    <row r="13" customFormat="false" ht="15" hidden="false" customHeight="false" outlineLevel="0" collapsed="false">
      <c r="A13" s="12" t="s">
        <v>274</v>
      </c>
      <c r="B13" s="13" t="n">
        <f aca="false">COUNTIFS(Testplan!$G$2:$G$200,$A13,Testplan!$F$2:$F$200,B$8)</f>
        <v>0</v>
      </c>
      <c r="C13" s="13" t="n">
        <f aca="false">COUNTIFS(Testplan!$G$2:$G$200,$A13,Testplan!$F$2:$F$200,C$8)</f>
        <v>0</v>
      </c>
      <c r="D13" s="13" t="n">
        <f aca="false">COUNTIFS(Testplan!$G$2:$G$200,$A13,Testplan!$F$2:$F$200,D$8)</f>
        <v>0</v>
      </c>
      <c r="E13" s="14" t="n">
        <f aca="false">SUM(B13:D13)</f>
        <v>0</v>
      </c>
    </row>
    <row r="14" customFormat="false" ht="15" hidden="false" customHeight="false" outlineLevel="0" collapsed="false">
      <c r="A14" s="12" t="s">
        <v>275</v>
      </c>
      <c r="B14" s="13" t="n">
        <f aca="false">COUNTIFS(Testplan!$G$2:$G$200,$A14,Testplan!$F$2:$F$200,B$8)</f>
        <v>0</v>
      </c>
      <c r="C14" s="13" t="n">
        <f aca="false">COUNTIFS(Testplan!$G$2:$G$200,$A14,Testplan!$F$2:$F$200,C$8)</f>
        <v>0</v>
      </c>
      <c r="D14" s="13" t="n">
        <f aca="false">COUNTIFS(Testplan!$G$2:$G$200,$A14,Testplan!$F$2:$F$200,D$8)</f>
        <v>0</v>
      </c>
      <c r="E14" s="14" t="n">
        <f aca="false">SUM(B14:D14)</f>
        <v>0</v>
      </c>
    </row>
    <row r="15" customFormat="false" ht="15" hidden="false" customHeight="false" outlineLevel="0" collapsed="false">
      <c r="A15" s="15" t="s">
        <v>270</v>
      </c>
      <c r="B15" s="16" t="n">
        <f aca="false">SUM(B9:B14)</f>
        <v>25</v>
      </c>
      <c r="C15" s="16" t="n">
        <f aca="false">SUM(C9:C14)</f>
        <v>15</v>
      </c>
      <c r="D15" s="16" t="n">
        <f aca="false">SUM(D9:D14)</f>
        <v>4</v>
      </c>
      <c r="E15" s="16" t="n">
        <f aca="false">SUM(E9:E14)</f>
        <v>44</v>
      </c>
    </row>
    <row r="16" customFormat="false" ht="15" hidden="false" customHeight="false" outlineLevel="0" collapsed="false">
      <c r="A16" s="7" t="s">
        <v>276</v>
      </c>
      <c r="B16" s="17" t="n">
        <f aca="false">B3-E15</f>
        <v>0</v>
      </c>
    </row>
    <row r="18" customFormat="false" ht="15" hidden="false" customHeight="false" outlineLevel="0" collapsed="false">
      <c r="A18" s="10" t="s">
        <v>277</v>
      </c>
    </row>
    <row r="19" customFormat="false" ht="15" hidden="false" customHeight="false" outlineLevel="0" collapsed="false">
      <c r="A19" s="11" t="s">
        <v>278</v>
      </c>
      <c r="B19" s="11" t="s">
        <v>279</v>
      </c>
      <c r="C19" s="11" t="s">
        <v>270</v>
      </c>
      <c r="D19" s="11" t="s">
        <v>272</v>
      </c>
      <c r="E19" s="11" t="s">
        <v>280</v>
      </c>
    </row>
    <row r="20" customFormat="false" ht="15" hidden="false" customHeight="false" outlineLevel="0" collapsed="false">
      <c r="A20" s="12" t="s">
        <v>281</v>
      </c>
      <c r="B20" s="13" t="s">
        <v>282</v>
      </c>
      <c r="C20" s="13" t="n">
        <f aca="false">COUNTIF(Testplan!$A$2:$A$200,B20&amp;"*")</f>
        <v>5</v>
      </c>
      <c r="D20" s="13" t="n">
        <f aca="false">COUNTIFS(Testplan!$A$2:$A$200,B20&amp;"*",Testplan!$G$2:$G$200,"Pass")</f>
        <v>0</v>
      </c>
      <c r="E20" s="18" t="n">
        <f aca="false">IFERROR(D20/C20,0)</f>
        <v>0</v>
      </c>
    </row>
    <row r="21" customFormat="false" ht="15" hidden="false" customHeight="false" outlineLevel="0" collapsed="false">
      <c r="A21" s="12" t="s">
        <v>283</v>
      </c>
      <c r="B21" s="13" t="s">
        <v>284</v>
      </c>
      <c r="C21" s="13" t="n">
        <f aca="false">COUNTIF(Testplan!$A$2:$A$200,B21&amp;"*")</f>
        <v>2</v>
      </c>
      <c r="D21" s="13" t="n">
        <f aca="false">COUNTIFS(Testplan!$A$2:$A$200,B21&amp;"*",Testplan!$G$2:$G$200,"Pass")</f>
        <v>0</v>
      </c>
      <c r="E21" s="18" t="n">
        <f aca="false">IFERROR(D21/C21,0)</f>
        <v>0</v>
      </c>
    </row>
    <row r="22" customFormat="false" ht="15" hidden="false" customHeight="false" outlineLevel="0" collapsed="false">
      <c r="A22" s="12" t="s">
        <v>285</v>
      </c>
      <c r="B22" s="13" t="s">
        <v>286</v>
      </c>
      <c r="C22" s="13" t="n">
        <f aca="false">COUNTIF(Testplan!$A$2:$A$200,B22&amp;"*")</f>
        <v>4</v>
      </c>
      <c r="D22" s="13" t="n">
        <f aca="false">COUNTIFS(Testplan!$A$2:$A$200,B22&amp;"*",Testplan!$G$2:$G$200,"Pass")</f>
        <v>0</v>
      </c>
      <c r="E22" s="18" t="n">
        <f aca="false">IFERROR(D22/C22,0)</f>
        <v>0</v>
      </c>
    </row>
    <row r="23" customFormat="false" ht="15" hidden="false" customHeight="false" outlineLevel="0" collapsed="false">
      <c r="A23" s="12" t="s">
        <v>287</v>
      </c>
      <c r="B23" s="13" t="s">
        <v>288</v>
      </c>
      <c r="C23" s="13" t="n">
        <f aca="false">COUNTIF(Testplan!$A$2:$A$200,B23&amp;"*")</f>
        <v>5</v>
      </c>
      <c r="D23" s="13" t="n">
        <f aca="false">COUNTIFS(Testplan!$A$2:$A$200,B23&amp;"*",Testplan!$G$2:$G$200,"Pass")</f>
        <v>0</v>
      </c>
      <c r="E23" s="18" t="n">
        <f aca="false">IFERROR(D23/C23,0)</f>
        <v>0</v>
      </c>
    </row>
    <row r="24" customFormat="false" ht="15" hidden="false" customHeight="false" outlineLevel="0" collapsed="false">
      <c r="A24" s="12" t="s">
        <v>289</v>
      </c>
      <c r="B24" s="13" t="s">
        <v>290</v>
      </c>
      <c r="C24" s="13" t="n">
        <f aca="false">COUNTIF(Testplan!$A$2:$A$200,B24&amp;"*")</f>
        <v>6</v>
      </c>
      <c r="D24" s="13" t="n">
        <f aca="false">COUNTIFS(Testplan!$A$2:$A$200,B24&amp;"*",Testplan!$G$2:$G$200,"Pass")</f>
        <v>0</v>
      </c>
      <c r="E24" s="18" t="n">
        <f aca="false">IFERROR(D24/C24,0)</f>
        <v>0</v>
      </c>
    </row>
    <row r="25" customFormat="false" ht="15" hidden="false" customHeight="false" outlineLevel="0" collapsed="false">
      <c r="A25" s="12" t="s">
        <v>291</v>
      </c>
      <c r="B25" s="13" t="s">
        <v>292</v>
      </c>
      <c r="C25" s="13" t="n">
        <f aca="false">COUNTIF(Testplan!$A$2:$A$200,B25&amp;"*")</f>
        <v>4</v>
      </c>
      <c r="D25" s="13" t="n">
        <f aca="false">COUNTIFS(Testplan!$A$2:$A$200,B25&amp;"*",Testplan!$G$2:$G$200,"Pass")</f>
        <v>0</v>
      </c>
      <c r="E25" s="18" t="n">
        <f aca="false">IFERROR(D25/C25,0)</f>
        <v>0</v>
      </c>
    </row>
    <row r="26" customFormat="false" ht="15" hidden="false" customHeight="false" outlineLevel="0" collapsed="false">
      <c r="A26" s="12" t="s">
        <v>293</v>
      </c>
      <c r="B26" s="13" t="s">
        <v>294</v>
      </c>
      <c r="C26" s="13" t="n">
        <f aca="false">COUNTIF(Testplan!$A$2:$A$200,B26&amp;"*")</f>
        <v>5</v>
      </c>
      <c r="D26" s="13" t="n">
        <f aca="false">COUNTIFS(Testplan!$A$2:$A$200,B26&amp;"*",Testplan!$G$2:$G$200,"Pass")</f>
        <v>0</v>
      </c>
      <c r="E26" s="18" t="n">
        <f aca="false">IFERROR(D26/C26,0)</f>
        <v>0</v>
      </c>
    </row>
    <row r="27" customFormat="false" ht="15" hidden="false" customHeight="false" outlineLevel="0" collapsed="false">
      <c r="A27" s="12" t="s">
        <v>295</v>
      </c>
      <c r="B27" s="13" t="s">
        <v>296</v>
      </c>
      <c r="C27" s="13" t="n">
        <f aca="false">COUNTIF(Testplan!$A$2:$A$200,B27&amp;"*")</f>
        <v>2</v>
      </c>
      <c r="D27" s="13" t="n">
        <f aca="false">COUNTIFS(Testplan!$A$2:$A$200,B27&amp;"*",Testplan!$G$2:$G$200,"Pass")</f>
        <v>0</v>
      </c>
      <c r="E27" s="18" t="n">
        <f aca="false">IFERROR(D27/C27,0)</f>
        <v>0</v>
      </c>
    </row>
    <row r="28" customFormat="false" ht="15" hidden="false" customHeight="false" outlineLevel="0" collapsed="false">
      <c r="A28" s="12" t="s">
        <v>297</v>
      </c>
      <c r="B28" s="13" t="s">
        <v>298</v>
      </c>
      <c r="C28" s="13" t="n">
        <f aca="false">COUNTIF(Testplan!$A$2:$A$200,B28&amp;"*")</f>
        <v>2</v>
      </c>
      <c r="D28" s="13" t="n">
        <f aca="false">COUNTIFS(Testplan!$A$2:$A$200,B28&amp;"*",Testplan!$G$2:$G$200,"Pass")</f>
        <v>0</v>
      </c>
      <c r="E28" s="18" t="n">
        <f aca="false">IFERROR(D28/C28,0)</f>
        <v>0</v>
      </c>
    </row>
    <row r="29" customFormat="false" ht="15" hidden="false" customHeight="false" outlineLevel="0" collapsed="false">
      <c r="A29" s="12" t="s">
        <v>299</v>
      </c>
      <c r="B29" s="13" t="s">
        <v>300</v>
      </c>
      <c r="C29" s="13" t="n">
        <f aca="false">COUNTIF(Testplan!$A$2:$A$200,B29&amp;"*")</f>
        <v>5</v>
      </c>
      <c r="D29" s="13" t="n">
        <f aca="false">COUNTIFS(Testplan!$A$2:$A$200,B29&amp;"*",Testplan!$G$2:$G$200,"Pass")</f>
        <v>0</v>
      </c>
      <c r="E29" s="18" t="n">
        <f aca="false">IFERROR(D29/C29,0)</f>
        <v>0</v>
      </c>
    </row>
    <row r="30" customFormat="false" ht="15" hidden="false" customHeight="false" outlineLevel="0" collapsed="false">
      <c r="A30" s="12" t="s">
        <v>301</v>
      </c>
      <c r="B30" s="13" t="s">
        <v>302</v>
      </c>
      <c r="C30" s="13" t="n">
        <f aca="false">COUNTIF(Testplan!$A$2:$A$200,B30&amp;"*")</f>
        <v>3</v>
      </c>
      <c r="D30" s="13" t="n">
        <f aca="false">COUNTIFS(Testplan!$A$2:$A$200,B30&amp;"*",Testplan!$G$2:$G$200,"Pass")</f>
        <v>0</v>
      </c>
      <c r="E30" s="18" t="n">
        <f aca="false">IFERROR(D30/C30,0)</f>
        <v>0</v>
      </c>
    </row>
    <row r="31" customFormat="false" ht="15" hidden="false" customHeight="false" outlineLevel="0" collapsed="false">
      <c r="A31" s="12" t="s">
        <v>303</v>
      </c>
      <c r="B31" s="13" t="s">
        <v>303</v>
      </c>
      <c r="C31" s="13" t="n">
        <f aca="false">COUNTIF(Testplan!$A$2:$A$200,B31&amp;"*")</f>
        <v>1</v>
      </c>
      <c r="D31" s="13" t="n">
        <f aca="false">COUNTIFS(Testplan!$A$2:$A$200,B31&amp;"*",Testplan!$G$2:$G$200,"Pass")</f>
        <v>0</v>
      </c>
      <c r="E31" s="18" t="n">
        <f aca="false">IFERROR(D31/C31,0)</f>
        <v>0</v>
      </c>
    </row>
    <row r="32" customFormat="false" ht="15" hidden="false" customHeight="false" outlineLevel="0" collapsed="false">
      <c r="A32" s="15" t="s">
        <v>270</v>
      </c>
      <c r="B32" s="19"/>
      <c r="C32" s="16" t="n">
        <f aca="false">SUM(C20:C31)</f>
        <v>44</v>
      </c>
      <c r="D32" s="16" t="n">
        <f aca="false">SUM(D20:D31)</f>
        <v>0</v>
      </c>
      <c r="E32" s="20" t="n">
        <f aca="false">IFERROR(D32/C32,0)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21" t="s">
        <v>304</v>
      </c>
      <c r="B1" s="21" t="s">
        <v>305</v>
      </c>
      <c r="C1" s="21" t="s">
        <v>306</v>
      </c>
      <c r="D1" s="21" t="s">
        <v>6</v>
      </c>
      <c r="E1" s="21" t="s">
        <v>7</v>
      </c>
    </row>
    <row r="2" customFormat="false" ht="35.05" hidden="false" customHeight="false" outlineLevel="0" collapsed="false">
      <c r="A2" s="22" t="s">
        <v>307</v>
      </c>
      <c r="B2" s="3" t="s">
        <v>308</v>
      </c>
      <c r="C2" s="3" t="s">
        <v>309</v>
      </c>
      <c r="D2" s="23" t="s">
        <v>14</v>
      </c>
      <c r="E2" s="3" t="s">
        <v>310</v>
      </c>
    </row>
    <row r="3" customFormat="false" ht="57.45" hidden="false" customHeight="false" outlineLevel="0" collapsed="false">
      <c r="A3" s="22" t="s">
        <v>311</v>
      </c>
      <c r="B3" s="3" t="s">
        <v>312</v>
      </c>
      <c r="C3" s="3" t="s">
        <v>313</v>
      </c>
      <c r="D3" s="23" t="s">
        <v>314</v>
      </c>
      <c r="E3" s="3" t="s">
        <v>315</v>
      </c>
    </row>
    <row r="4" customFormat="false" ht="23.85" hidden="false" customHeight="false" outlineLevel="0" collapsed="false">
      <c r="A4" s="22" t="s">
        <v>316</v>
      </c>
      <c r="B4" s="3" t="s">
        <v>317</v>
      </c>
      <c r="C4" s="3" t="s">
        <v>318</v>
      </c>
      <c r="D4" s="23" t="s">
        <v>14</v>
      </c>
      <c r="E4" s="3"/>
    </row>
    <row r="5" customFormat="false" ht="35.05" hidden="false" customHeight="false" outlineLevel="0" collapsed="false">
      <c r="A5" s="22" t="s">
        <v>319</v>
      </c>
      <c r="B5" s="3" t="s">
        <v>320</v>
      </c>
      <c r="C5" s="3" t="s">
        <v>318</v>
      </c>
      <c r="D5" s="23" t="s">
        <v>14</v>
      </c>
      <c r="E5" s="3" t="s">
        <v>321</v>
      </c>
    </row>
    <row r="6" customFormat="false" ht="23.85" hidden="false" customHeight="false" outlineLevel="0" collapsed="false">
      <c r="A6" s="22" t="s">
        <v>322</v>
      </c>
      <c r="B6" s="3" t="s">
        <v>323</v>
      </c>
      <c r="C6" s="3" t="s">
        <v>318</v>
      </c>
      <c r="D6" s="23" t="s">
        <v>14</v>
      </c>
      <c r="E6" s="3" t="s">
        <v>324</v>
      </c>
    </row>
    <row r="7" customFormat="false" ht="35.05" hidden="false" customHeight="false" outlineLevel="0" collapsed="false">
      <c r="A7" s="22" t="s">
        <v>325</v>
      </c>
      <c r="B7" s="3" t="s">
        <v>326</v>
      </c>
      <c r="C7" s="3" t="s">
        <v>318</v>
      </c>
      <c r="D7" s="23" t="s">
        <v>14</v>
      </c>
      <c r="E7" s="3"/>
    </row>
    <row r="8" customFormat="false" ht="23.85" hidden="false" customHeight="false" outlineLevel="0" collapsed="false">
      <c r="A8" s="22" t="s">
        <v>327</v>
      </c>
      <c r="B8" s="3" t="s">
        <v>328</v>
      </c>
      <c r="C8" s="3" t="s">
        <v>329</v>
      </c>
      <c r="D8" s="23" t="s">
        <v>14</v>
      </c>
      <c r="E8" s="3" t="s">
        <v>330</v>
      </c>
    </row>
    <row r="9" customFormat="false" ht="23.85" hidden="false" customHeight="false" outlineLevel="0" collapsed="false">
      <c r="A9" s="22" t="s">
        <v>331</v>
      </c>
      <c r="B9" s="3" t="s">
        <v>332</v>
      </c>
      <c r="C9" s="3" t="s">
        <v>333</v>
      </c>
      <c r="D9" s="23" t="s">
        <v>14</v>
      </c>
      <c r="E9" s="3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6" t="s">
        <v>335</v>
      </c>
    </row>
    <row r="2" customFormat="false" ht="15" hidden="false" customHeight="false" outlineLevel="0" collapsed="false">
      <c r="A2" s="7" t="s">
        <v>336</v>
      </c>
    </row>
    <row r="3" customFormat="false" ht="15" hidden="false" customHeight="false" outlineLevel="0" collapsed="false">
      <c r="A3" s="10" t="s">
        <v>337</v>
      </c>
      <c r="B3" s="24" t="n">
        <v>0.02</v>
      </c>
      <c r="C3" s="7" t="s">
        <v>338</v>
      </c>
    </row>
    <row r="5" customFormat="false" ht="15" hidden="false" customHeight="false" outlineLevel="0" collapsed="false">
      <c r="A5" s="25" t="s">
        <v>339</v>
      </c>
      <c r="B5" s="25" t="s">
        <v>340</v>
      </c>
      <c r="C5" s="25" t="s">
        <v>341</v>
      </c>
      <c r="D5" s="25" t="s">
        <v>342</v>
      </c>
      <c r="E5" s="25" t="s">
        <v>343</v>
      </c>
      <c r="F5" s="25" t="s">
        <v>344</v>
      </c>
      <c r="G5" s="25" t="s">
        <v>345</v>
      </c>
    </row>
    <row r="6" customFormat="false" ht="15" hidden="false" customHeight="false" outlineLevel="0" collapsed="false">
      <c r="A6" s="26" t="n">
        <v>50000000</v>
      </c>
      <c r="B6" s="26" t="n">
        <v>9600</v>
      </c>
      <c r="C6" s="27" t="n">
        <f aca="false">INT(A6/B6)</f>
        <v>5208</v>
      </c>
      <c r="D6" s="27" t="n">
        <f aca="false">INT(A6/(B6*16))</f>
        <v>325</v>
      </c>
      <c r="E6" s="27" t="n">
        <f aca="false">16*D6</f>
        <v>5200</v>
      </c>
      <c r="F6" s="28" t="n">
        <f aca="false">IF(D6&lt;1,"n/a",(C6-E6)/C6)</f>
        <v>0.00153609831029186</v>
      </c>
      <c r="G6" s="13" t="str">
        <f aca="false">IF(D6&lt;1,"UNSUPPORTED",IF(D6=1,"EDGE (RX divisor = 1)",IF(ABS(F6)&gt;$B$3,"RISKY","OK")))</f>
        <v>OK</v>
      </c>
    </row>
    <row r="7" customFormat="false" ht="15" hidden="false" customHeight="false" outlineLevel="0" collapsed="false">
      <c r="A7" s="26" t="n">
        <v>50000000</v>
      </c>
      <c r="B7" s="26" t="n">
        <v>115200</v>
      </c>
      <c r="C7" s="27" t="n">
        <f aca="false">INT(A7/B7)</f>
        <v>434</v>
      </c>
      <c r="D7" s="27" t="n">
        <f aca="false">INT(A7/(B7*16))</f>
        <v>27</v>
      </c>
      <c r="E7" s="27" t="n">
        <f aca="false">16*D7</f>
        <v>432</v>
      </c>
      <c r="F7" s="28" t="n">
        <f aca="false">IF(D7&lt;1,"n/a",(C7-E7)/C7)</f>
        <v>0.00460829493087558</v>
      </c>
      <c r="G7" s="13" t="str">
        <f aca="false">IF(D7&lt;1,"UNSUPPORTED",IF(D7=1,"EDGE (RX divisor = 1)",IF(ABS(F7)&gt;$B$3,"RISKY","OK")))</f>
        <v>OK</v>
      </c>
    </row>
    <row r="8" customFormat="false" ht="15" hidden="false" customHeight="false" outlineLevel="0" collapsed="false">
      <c r="A8" s="26" t="n">
        <v>50000000</v>
      </c>
      <c r="B8" s="26" t="n">
        <v>312500</v>
      </c>
      <c r="C8" s="27" t="n">
        <f aca="false">INT(A8/B8)</f>
        <v>160</v>
      </c>
      <c r="D8" s="27" t="n">
        <f aca="false">INT(A8/(B8*16))</f>
        <v>10</v>
      </c>
      <c r="E8" s="27" t="n">
        <f aca="false">16*D8</f>
        <v>160</v>
      </c>
      <c r="F8" s="28" t="n">
        <f aca="false">IF(D8&lt;1,"n/a",(C8-E8)/C8)</f>
        <v>0</v>
      </c>
      <c r="G8" s="13" t="str">
        <f aca="false">IF(D8&lt;1,"UNSUPPORTED",IF(D8=1,"EDGE (RX divisor = 1)",IF(ABS(F8)&gt;$B$3,"RISKY","OK")))</f>
        <v>OK</v>
      </c>
    </row>
    <row r="9" customFormat="false" ht="15" hidden="false" customHeight="false" outlineLevel="0" collapsed="false">
      <c r="A9" s="26" t="n">
        <v>100000000</v>
      </c>
      <c r="B9" s="26" t="n">
        <v>115200</v>
      </c>
      <c r="C9" s="27" t="n">
        <f aca="false">INT(A9/B9)</f>
        <v>868</v>
      </c>
      <c r="D9" s="27" t="n">
        <f aca="false">INT(A9/(B9*16))</f>
        <v>54</v>
      </c>
      <c r="E9" s="27" t="n">
        <f aca="false">16*D9</f>
        <v>864</v>
      </c>
      <c r="F9" s="28" t="n">
        <f aca="false">IF(D9&lt;1,"n/a",(C9-E9)/C9)</f>
        <v>0.00460829493087558</v>
      </c>
      <c r="G9" s="13" t="str">
        <f aca="false">IF(D9&lt;1,"UNSUPPORTED",IF(D9=1,"EDGE (RX divisor = 1)",IF(ABS(F9)&gt;$B$3,"RISKY","OK")))</f>
        <v>OK</v>
      </c>
    </row>
    <row r="10" customFormat="false" ht="15" hidden="false" customHeight="false" outlineLevel="0" collapsed="false">
      <c r="A10" s="26" t="n">
        <v>25000000</v>
      </c>
      <c r="B10" s="26" t="n">
        <v>9600</v>
      </c>
      <c r="C10" s="27" t="n">
        <f aca="false">INT(A10/B10)</f>
        <v>2604</v>
      </c>
      <c r="D10" s="27" t="n">
        <f aca="false">INT(A10/(B10*16))</f>
        <v>162</v>
      </c>
      <c r="E10" s="27" t="n">
        <f aca="false">16*D10</f>
        <v>2592</v>
      </c>
      <c r="F10" s="28" t="n">
        <f aca="false">IF(D10&lt;1,"n/a",(C10-E10)/C10)</f>
        <v>0.00460829493087558</v>
      </c>
      <c r="G10" s="13" t="str">
        <f aca="false">IF(D10&lt;1,"UNSUPPORTED",IF(D10=1,"EDGE (RX divisor = 1)",IF(ABS(F10)&gt;$B$3,"RISKY","OK")))</f>
        <v>OK</v>
      </c>
    </row>
    <row r="11" customFormat="false" ht="15" hidden="false" customHeight="false" outlineLevel="0" collapsed="false">
      <c r="A11" s="26" t="n">
        <v>50000000</v>
      </c>
      <c r="B11" s="26" t="n">
        <v>921600</v>
      </c>
      <c r="C11" s="27" t="n">
        <f aca="false">INT(A11/B11)</f>
        <v>54</v>
      </c>
      <c r="D11" s="27" t="n">
        <f aca="false">INT(A11/(B11*16))</f>
        <v>3</v>
      </c>
      <c r="E11" s="27" t="n">
        <f aca="false">16*D11</f>
        <v>48</v>
      </c>
      <c r="F11" s="28" t="n">
        <f aca="false">IF(D11&lt;1,"n/a",(C11-E11)/C11)</f>
        <v>0.111111111111111</v>
      </c>
      <c r="G11" s="13" t="str">
        <f aca="false">IF(D11&lt;1,"UNSUPPORTED",IF(D11=1,"EDGE (RX divisor = 1)",IF(ABS(F11)&gt;$B$3,"RISKY","OK")))</f>
        <v>RISKY</v>
      </c>
    </row>
    <row r="12" customFormat="false" ht="15" hidden="false" customHeight="false" outlineLevel="0" collapsed="false">
      <c r="A12" s="26" t="n">
        <v>50000000</v>
      </c>
      <c r="B12" s="26" t="n">
        <v>3125000</v>
      </c>
      <c r="C12" s="27" t="n">
        <f aca="false">INT(A12/B12)</f>
        <v>16</v>
      </c>
      <c r="D12" s="27" t="n">
        <f aca="false">INT(A12/(B12*16))</f>
        <v>1</v>
      </c>
      <c r="E12" s="27" t="n">
        <f aca="false">16*D12</f>
        <v>16</v>
      </c>
      <c r="F12" s="28" t="n">
        <f aca="false">IF(D12&lt;1,"n/a",(C12-E12)/C12)</f>
        <v>0</v>
      </c>
      <c r="G12" s="13" t="str">
        <f aca="false">IF(D12&lt;1,"UNSUPPORTED",IF(D12=1,"EDGE (RX divisor = 1)",IF(ABS(F12)&gt;$B$3,"RISKY","OK")))</f>
        <v>EDGE (RX divisor = 1)</v>
      </c>
    </row>
    <row r="13" customFormat="false" ht="15" hidden="false" customHeight="false" outlineLevel="0" collapsed="false">
      <c r="A13" s="26" t="n">
        <v>50000000</v>
      </c>
      <c r="B13" s="26" t="n">
        <v>6250000</v>
      </c>
      <c r="C13" s="27" t="n">
        <f aca="false">INT(A13/B13)</f>
        <v>8</v>
      </c>
      <c r="D13" s="27" t="n">
        <f aca="false">INT(A13/(B13*16))</f>
        <v>0</v>
      </c>
      <c r="E13" s="27" t="n">
        <f aca="false">16*D13</f>
        <v>0</v>
      </c>
      <c r="F13" s="28" t="str">
        <f aca="false">IF(D13&lt;1,"n/a",(C13-E13)/C13)</f>
        <v>n/a</v>
      </c>
      <c r="G13" s="13" t="str">
        <f aca="false">IF(D13&lt;1,"UNSUPPORTED",IF(D13=1,"EDGE (RX divisor = 1)",IF(ABS(F13)&gt;$B$3,"RISKY","OK")))</f>
        <v>UNSUPPORTED</v>
      </c>
    </row>
    <row r="15" customFormat="false" ht="15" hidden="false" customHeight="false" outlineLevel="0" collapsed="false">
      <c r="A15" s="7" t="s">
        <v>346</v>
      </c>
    </row>
    <row r="16" customFormat="false" ht="15" hidden="false" customHeight="false" outlineLevel="0" collapsed="false">
      <c r="A16" s="7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6" t="s">
        <v>348</v>
      </c>
    </row>
    <row r="3" customFormat="false" ht="15" hidden="false" customHeight="false" outlineLevel="0" collapsed="false">
      <c r="A3" s="29" t="s">
        <v>349</v>
      </c>
      <c r="B3" s="30"/>
    </row>
    <row r="4" customFormat="false" ht="15" hidden="false" customHeight="false" outlineLevel="0" collapsed="false">
      <c r="A4" s="31" t="s">
        <v>0</v>
      </c>
      <c r="B4" s="32" t="s">
        <v>350</v>
      </c>
    </row>
    <row r="5" customFormat="false" ht="15" hidden="false" customHeight="false" outlineLevel="0" collapsed="false">
      <c r="A5" s="31" t="s">
        <v>1</v>
      </c>
      <c r="B5" s="32" t="s">
        <v>351</v>
      </c>
    </row>
    <row r="6" customFormat="false" ht="15" hidden="false" customHeight="false" outlineLevel="0" collapsed="false">
      <c r="A6" s="31" t="s">
        <v>2</v>
      </c>
      <c r="B6" s="32" t="s">
        <v>352</v>
      </c>
    </row>
    <row r="7" customFormat="false" ht="15" hidden="false" customHeight="false" outlineLevel="0" collapsed="false">
      <c r="A7" s="31" t="s">
        <v>3</v>
      </c>
      <c r="B7" s="32" t="s">
        <v>353</v>
      </c>
    </row>
    <row r="8" customFormat="false" ht="15" hidden="false" customHeight="false" outlineLevel="0" collapsed="false">
      <c r="A8" s="31" t="s">
        <v>4</v>
      </c>
      <c r="B8" s="32" t="s">
        <v>354</v>
      </c>
    </row>
    <row r="9" customFormat="false" ht="23.85" hidden="false" customHeight="false" outlineLevel="0" collapsed="false">
      <c r="A9" s="31" t="s">
        <v>5</v>
      </c>
      <c r="B9" s="32" t="s">
        <v>355</v>
      </c>
    </row>
    <row r="10" customFormat="false" ht="15" hidden="false" customHeight="false" outlineLevel="0" collapsed="false">
      <c r="A10" s="31" t="s">
        <v>6</v>
      </c>
      <c r="B10" s="32" t="s">
        <v>356</v>
      </c>
    </row>
    <row r="11" customFormat="false" ht="15" hidden="false" customHeight="false" outlineLevel="0" collapsed="false">
      <c r="A11" s="29" t="s">
        <v>357</v>
      </c>
      <c r="B11" s="30"/>
    </row>
    <row r="12" customFormat="false" ht="23.85" hidden="false" customHeight="false" outlineLevel="0" collapsed="false">
      <c r="A12" s="31" t="s">
        <v>358</v>
      </c>
      <c r="B12" s="32" t="s">
        <v>359</v>
      </c>
    </row>
    <row r="13" customFormat="false" ht="23.85" hidden="false" customHeight="false" outlineLevel="0" collapsed="false">
      <c r="A13" s="31" t="s">
        <v>360</v>
      </c>
      <c r="B13" s="32" t="s">
        <v>361</v>
      </c>
    </row>
    <row r="14" customFormat="false" ht="15" hidden="false" customHeight="false" outlineLevel="0" collapsed="false">
      <c r="A14" s="29" t="s">
        <v>362</v>
      </c>
      <c r="B14" s="30"/>
    </row>
    <row r="15" customFormat="false" ht="23.85" hidden="false" customHeight="false" outlineLevel="0" collapsed="false">
      <c r="A15" s="31" t="s">
        <v>363</v>
      </c>
      <c r="B15" s="32" t="s">
        <v>364</v>
      </c>
    </row>
    <row r="16" customFormat="false" ht="15" hidden="false" customHeight="false" outlineLevel="0" collapsed="false">
      <c r="A16" s="31" t="s">
        <v>365</v>
      </c>
      <c r="B16" s="32" t="s">
        <v>366</v>
      </c>
    </row>
    <row r="17" customFormat="false" ht="23.85" hidden="false" customHeight="false" outlineLevel="0" collapsed="false">
      <c r="A17" s="31" t="s">
        <v>367</v>
      </c>
      <c r="B17" s="32" t="s">
        <v>368</v>
      </c>
    </row>
    <row r="18" customFormat="false" ht="15" hidden="false" customHeight="false" outlineLevel="0" collapsed="false">
      <c r="A18" s="31" t="s">
        <v>369</v>
      </c>
      <c r="B18" s="32" t="s">
        <v>370</v>
      </c>
    </row>
    <row r="19" customFormat="false" ht="15" hidden="false" customHeight="false" outlineLevel="0" collapsed="false">
      <c r="A19" s="29" t="s">
        <v>371</v>
      </c>
      <c r="B19" s="30"/>
    </row>
    <row r="20" customFormat="false" ht="23.85" hidden="false" customHeight="false" outlineLevel="0" collapsed="false">
      <c r="A20" s="31" t="s">
        <v>372</v>
      </c>
      <c r="B20" s="32" t="s">
        <v>373</v>
      </c>
    </row>
    <row r="21" customFormat="false" ht="23.85" hidden="false" customHeight="false" outlineLevel="0" collapsed="false">
      <c r="A21" s="31" t="s">
        <v>374</v>
      </c>
      <c r="B21" s="32" t="s">
        <v>375</v>
      </c>
    </row>
    <row r="22" customFormat="false" ht="23.85" hidden="false" customHeight="false" outlineLevel="0" collapsed="false">
      <c r="A22" s="31" t="s">
        <v>295</v>
      </c>
      <c r="B22" s="32" t="s">
        <v>376</v>
      </c>
    </row>
    <row r="23" customFormat="false" ht="15" hidden="false" customHeight="false" outlineLevel="0" collapsed="false">
      <c r="A23" s="31" t="s">
        <v>377</v>
      </c>
      <c r="B23" s="32" t="s">
        <v>378</v>
      </c>
    </row>
    <row r="24" customFormat="false" ht="23.85" hidden="false" customHeight="false" outlineLevel="0" collapsed="false">
      <c r="A24" s="31" t="s">
        <v>379</v>
      </c>
      <c r="B24" s="32" t="s">
        <v>380</v>
      </c>
    </row>
    <row r="25" customFormat="false" ht="15" hidden="false" customHeight="false" outlineLevel="0" collapsed="false">
      <c r="A25" s="31" t="s">
        <v>381</v>
      </c>
      <c r="B25" s="32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2026-10-21T12:27:58Z</dcterms:created>
  <dc:creator>openpyxl</dc:creator>
  <dc:description/>
  <dc:language>en-US</dc:language>
  <cp:lastModifiedBy/>
  <dcterms:modified xsi:type="dcterms:W3CDTF">2026-10-21T12:27:58Z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